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E3ACC298-58D2-4F28-BA75-75480D47442A}" xr6:coauthVersionLast="47" xr6:coauthVersionMax="47" xr10:uidLastSave="{00000000-0000-0000-0000-000000000000}"/>
  <bookViews>
    <workbookView xWindow="35940" yWindow="-870" windowWidth="21765" windowHeight="15585" tabRatio="733" firstSheet="8" activeTab="10" xr2:uid="{B9D8BD79-D8D1-4839-B71D-4C3A47A24CAD}"/>
  </bookViews>
  <sheets>
    <sheet name="Route29" sheetId="100" r:id="rId1"/>
    <sheet name="Route30" sheetId="101" r:id="rId2"/>
    <sheet name="Route31" sheetId="102" r:id="rId3"/>
    <sheet name="Route32" sheetId="103" r:id="rId4"/>
    <sheet name="Route33" sheetId="104" r:id="rId5"/>
    <sheet name="Route34" sheetId="105" r:id="rId6"/>
    <sheet name="Route35" sheetId="106" r:id="rId7"/>
    <sheet name="Route36" sheetId="107" r:id="rId8"/>
    <sheet name="Route37" sheetId="132" r:id="rId9"/>
    <sheet name="Route38" sheetId="109" r:id="rId10"/>
    <sheet name="Route39" sheetId="110" r:id="rId11"/>
    <sheet name="Route42" sheetId="111" r:id="rId12"/>
    <sheet name="Route43" sheetId="112" r:id="rId13"/>
    <sheet name="Route44" sheetId="113" r:id="rId14"/>
    <sheet name="Route45" sheetId="114" r:id="rId15"/>
    <sheet name="Route46" sheetId="115" r:id="rId16"/>
    <sheet name="BurnedTower1F" sheetId="93" r:id="rId17"/>
    <sheet name="BurnedTowerB1F" sheetId="94" r:id="rId18"/>
    <sheet name="MtMortar1FOutside" sheetId="116" r:id="rId19"/>
    <sheet name="MtMortar1FInside" sheetId="122" r:id="rId20"/>
    <sheet name="MtMortar2FInside" sheetId="123" r:id="rId21"/>
    <sheet name="MtMortarB1F" sheetId="124" r:id="rId22"/>
    <sheet name="NationalPark" sheetId="91" r:id="rId23"/>
    <sheet name="IlexForest" sheetId="117" r:id="rId24"/>
    <sheet name="SlowpokeWellB1F" sheetId="120" r:id="rId25"/>
    <sheet name="SlowpokeWellB2F" sheetId="121" r:id="rId26"/>
    <sheet name="UnionCave1F" sheetId="97" r:id="rId27"/>
    <sheet name="UnionCaveB1F" sheetId="98" r:id="rId28"/>
    <sheet name="UnionCaveB2F" sheetId="99" r:id="rId29"/>
    <sheet name="RuinsOfAlphOutside" sheetId="95" r:id="rId30"/>
    <sheet name="RuinsOfAlph" sheetId="96" r:id="rId31"/>
    <sheet name="SproutTower" sheetId="85" r:id="rId32"/>
    <sheet name="DarkCave" sheetId="118" r:id="rId33"/>
    <sheet name="IcePath1F" sheetId="119" r:id="rId34"/>
    <sheet name="IcePathB1F" sheetId="126" r:id="rId35"/>
    <sheet name="IcePathB2FB3F" sheetId="125" r:id="rId36"/>
    <sheet name="TinTowerFloors" sheetId="92" r:id="rId37"/>
    <sheet name="WhirlIslandsALL" sheetId="127" r:id="rId38"/>
    <sheet name="SilverCaveOutside" sheetId="131" r:id="rId39"/>
    <sheet name="SilverCaveR1" sheetId="128" r:id="rId40"/>
    <sheet name="SilverCaveR2" sheetId="129" r:id="rId41"/>
    <sheet name="SilverCaveR3+ItemR" sheetId="130" r:id="rId42"/>
    <sheet name="WATER" sheetId="81" r:id="rId43"/>
    <sheet name="TEMPLATE" sheetId="90" r:id="rId4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132" l="1"/>
  <c r="M29" i="132"/>
  <c r="L29" i="132"/>
  <c r="K29" i="132"/>
  <c r="J29" i="132"/>
  <c r="I29" i="132"/>
  <c r="H29" i="132"/>
  <c r="G29" i="132"/>
  <c r="F29" i="132"/>
  <c r="E29" i="132"/>
  <c r="D29" i="132"/>
  <c r="C29" i="132"/>
  <c r="A28" i="132"/>
  <c r="A27" i="132"/>
  <c r="A26" i="132"/>
  <c r="A25" i="132"/>
  <c r="A24" i="132"/>
  <c r="A23" i="132"/>
  <c r="A22" i="132"/>
  <c r="A21" i="132"/>
  <c r="A20" i="132"/>
  <c r="A19" i="132"/>
  <c r="N17" i="132"/>
  <c r="M17" i="132"/>
  <c r="L17" i="132"/>
  <c r="K17" i="132"/>
  <c r="J17" i="132"/>
  <c r="I17" i="132"/>
  <c r="H17" i="132"/>
  <c r="G17" i="132"/>
  <c r="F17" i="132"/>
  <c r="E17" i="132"/>
  <c r="D17" i="132"/>
  <c r="C17" i="132"/>
  <c r="A16" i="132"/>
  <c r="A14" i="132"/>
  <c r="N13" i="132"/>
  <c r="M13" i="132"/>
  <c r="L13" i="132"/>
  <c r="K13" i="132"/>
  <c r="J13" i="132"/>
  <c r="I13" i="132"/>
  <c r="H13" i="132"/>
  <c r="G13" i="132"/>
  <c r="F13" i="132"/>
  <c r="E13" i="132"/>
  <c r="D13" i="132"/>
  <c r="C13" i="132"/>
  <c r="A11" i="132"/>
  <c r="A10" i="132"/>
  <c r="A9" i="132"/>
  <c r="A8" i="132"/>
  <c r="A7" i="132"/>
  <c r="A6" i="132"/>
  <c r="A5" i="132"/>
  <c r="A4" i="132"/>
  <c r="A3" i="132"/>
  <c r="A2" i="132"/>
  <c r="N29" i="131"/>
  <c r="M29" i="131"/>
  <c r="L29" i="131"/>
  <c r="K29" i="131"/>
  <c r="J29" i="131"/>
  <c r="I29" i="131"/>
  <c r="H29" i="131"/>
  <c r="G29" i="131"/>
  <c r="F29" i="131"/>
  <c r="E29" i="131"/>
  <c r="D29" i="131"/>
  <c r="C29" i="131"/>
  <c r="A28" i="131"/>
  <c r="A27" i="131"/>
  <c r="A26" i="131"/>
  <c r="A25" i="131"/>
  <c r="A24" i="131"/>
  <c r="A23" i="131"/>
  <c r="A22" i="131"/>
  <c r="A21" i="131"/>
  <c r="A20" i="131"/>
  <c r="A19" i="131"/>
  <c r="N17" i="131"/>
  <c r="M17" i="131"/>
  <c r="L17" i="131"/>
  <c r="K17" i="131"/>
  <c r="J17" i="131"/>
  <c r="I17" i="131"/>
  <c r="H17" i="131"/>
  <c r="G17" i="131"/>
  <c r="F17" i="131"/>
  <c r="E17" i="131"/>
  <c r="A17" i="131" s="1"/>
  <c r="D17" i="131"/>
  <c r="C17" i="131"/>
  <c r="A16" i="131"/>
  <c r="A14" i="131"/>
  <c r="N13" i="131"/>
  <c r="M13" i="131"/>
  <c r="L13" i="131"/>
  <c r="K13" i="131"/>
  <c r="J13" i="131"/>
  <c r="I13" i="131"/>
  <c r="H13" i="131"/>
  <c r="G13" i="131"/>
  <c r="F13" i="131"/>
  <c r="E13" i="131"/>
  <c r="D13" i="131"/>
  <c r="C13" i="131"/>
  <c r="A13" i="131" s="1"/>
  <c r="A11" i="131"/>
  <c r="A10" i="131"/>
  <c r="A9" i="131"/>
  <c r="A8" i="131"/>
  <c r="A7" i="131"/>
  <c r="A6" i="131"/>
  <c r="A5" i="131"/>
  <c r="A4" i="131"/>
  <c r="A3" i="131"/>
  <c r="A2" i="131"/>
  <c r="N29" i="130"/>
  <c r="M29" i="130"/>
  <c r="L29" i="130"/>
  <c r="K29" i="130"/>
  <c r="J29" i="130"/>
  <c r="I29" i="130"/>
  <c r="H29" i="130"/>
  <c r="G29" i="130"/>
  <c r="F29" i="130"/>
  <c r="E29" i="130"/>
  <c r="D29" i="130"/>
  <c r="C29" i="130"/>
  <c r="A28" i="130"/>
  <c r="A27" i="130"/>
  <c r="A26" i="130"/>
  <c r="A25" i="130"/>
  <c r="A24" i="130"/>
  <c r="A23" i="130"/>
  <c r="A22" i="130"/>
  <c r="A21" i="130"/>
  <c r="A20" i="130"/>
  <c r="A19" i="130"/>
  <c r="N17" i="130"/>
  <c r="M17" i="130"/>
  <c r="L17" i="130"/>
  <c r="K17" i="130"/>
  <c r="J17" i="130"/>
  <c r="I17" i="130"/>
  <c r="H17" i="130"/>
  <c r="G17" i="130"/>
  <c r="F17" i="130"/>
  <c r="E17" i="130"/>
  <c r="D17" i="130"/>
  <c r="C17" i="130"/>
  <c r="A16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29" i="129"/>
  <c r="M29" i="129"/>
  <c r="L29" i="129"/>
  <c r="K29" i="129"/>
  <c r="J29" i="129"/>
  <c r="I29" i="129"/>
  <c r="H29" i="129"/>
  <c r="G29" i="129"/>
  <c r="F29" i="129"/>
  <c r="E29" i="129"/>
  <c r="D29" i="129"/>
  <c r="C29" i="129"/>
  <c r="A28" i="129"/>
  <c r="A27" i="129"/>
  <c r="A26" i="129"/>
  <c r="A25" i="129"/>
  <c r="A24" i="129"/>
  <c r="A23" i="129"/>
  <c r="A22" i="129"/>
  <c r="A21" i="129"/>
  <c r="A20" i="129"/>
  <c r="A19" i="129"/>
  <c r="N17" i="129"/>
  <c r="M17" i="129"/>
  <c r="L17" i="129"/>
  <c r="K17" i="129"/>
  <c r="J17" i="129"/>
  <c r="I17" i="129"/>
  <c r="H17" i="129"/>
  <c r="G17" i="129"/>
  <c r="F17" i="129"/>
  <c r="E17" i="129"/>
  <c r="D17" i="129"/>
  <c r="C17" i="129"/>
  <c r="A16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29" i="128"/>
  <c r="M29" i="128"/>
  <c r="L29" i="128"/>
  <c r="K29" i="128"/>
  <c r="J29" i="128"/>
  <c r="I29" i="128"/>
  <c r="H29" i="128"/>
  <c r="G29" i="128"/>
  <c r="F29" i="128"/>
  <c r="E29" i="128"/>
  <c r="D29" i="128"/>
  <c r="C29" i="128"/>
  <c r="A28" i="128"/>
  <c r="A27" i="128"/>
  <c r="A26" i="128"/>
  <c r="A25" i="128"/>
  <c r="A24" i="128"/>
  <c r="A23" i="128"/>
  <c r="A22" i="128"/>
  <c r="A21" i="128"/>
  <c r="A20" i="128"/>
  <c r="A19" i="128"/>
  <c r="N17" i="128"/>
  <c r="M17" i="128"/>
  <c r="L17" i="128"/>
  <c r="K17" i="128"/>
  <c r="J17" i="128"/>
  <c r="I17" i="128"/>
  <c r="H17" i="128"/>
  <c r="G17" i="128"/>
  <c r="F17" i="128"/>
  <c r="E17" i="128"/>
  <c r="D17" i="128"/>
  <c r="C17" i="128"/>
  <c r="A16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29" i="127"/>
  <c r="M29" i="127"/>
  <c r="L29" i="127"/>
  <c r="K29" i="127"/>
  <c r="J29" i="127"/>
  <c r="I29" i="127"/>
  <c r="H29" i="127"/>
  <c r="G29" i="127"/>
  <c r="F29" i="127"/>
  <c r="E29" i="127"/>
  <c r="D29" i="127"/>
  <c r="C29" i="127"/>
  <c r="A28" i="127"/>
  <c r="A27" i="127"/>
  <c r="A26" i="127"/>
  <c r="A25" i="127"/>
  <c r="A24" i="127"/>
  <c r="A23" i="127"/>
  <c r="A22" i="127"/>
  <c r="A21" i="127"/>
  <c r="A20" i="127"/>
  <c r="A19" i="127"/>
  <c r="N17" i="127"/>
  <c r="M17" i="127"/>
  <c r="L17" i="127"/>
  <c r="K17" i="127"/>
  <c r="J17" i="127"/>
  <c r="I17" i="127"/>
  <c r="H17" i="127"/>
  <c r="G17" i="127"/>
  <c r="F17" i="127"/>
  <c r="E17" i="127"/>
  <c r="D17" i="127"/>
  <c r="C17" i="127"/>
  <c r="A16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29" i="126"/>
  <c r="M29" i="126"/>
  <c r="L29" i="126"/>
  <c r="K29" i="126"/>
  <c r="J29" i="126"/>
  <c r="I29" i="126"/>
  <c r="H29" i="126"/>
  <c r="G29" i="126"/>
  <c r="F29" i="126"/>
  <c r="E29" i="126"/>
  <c r="D29" i="126"/>
  <c r="C29" i="126"/>
  <c r="A28" i="126"/>
  <c r="A27" i="126"/>
  <c r="A26" i="126"/>
  <c r="A25" i="126"/>
  <c r="A24" i="126"/>
  <c r="A23" i="126"/>
  <c r="A22" i="126"/>
  <c r="A21" i="126"/>
  <c r="A20" i="126"/>
  <c r="A19" i="126"/>
  <c r="N17" i="126"/>
  <c r="M17" i="126"/>
  <c r="L17" i="126"/>
  <c r="K17" i="126"/>
  <c r="J17" i="126"/>
  <c r="I17" i="126"/>
  <c r="H17" i="126"/>
  <c r="G17" i="126"/>
  <c r="F17" i="126"/>
  <c r="E17" i="126"/>
  <c r="D17" i="126"/>
  <c r="C17" i="126"/>
  <c r="A16" i="126"/>
  <c r="A14" i="126"/>
  <c r="N13" i="126"/>
  <c r="M13" i="126"/>
  <c r="L13" i="126"/>
  <c r="K13" i="126"/>
  <c r="J13" i="126"/>
  <c r="I13" i="126"/>
  <c r="H13" i="126"/>
  <c r="G13" i="126"/>
  <c r="F13" i="126"/>
  <c r="E13" i="126"/>
  <c r="D13" i="126"/>
  <c r="C13" i="126"/>
  <c r="A11" i="126"/>
  <c r="A10" i="126"/>
  <c r="A9" i="126"/>
  <c r="A8" i="126"/>
  <c r="A7" i="126"/>
  <c r="A6" i="126"/>
  <c r="A5" i="126"/>
  <c r="A4" i="126"/>
  <c r="A3" i="126"/>
  <c r="A2" i="126"/>
  <c r="N29" i="125"/>
  <c r="M29" i="125"/>
  <c r="L29" i="125"/>
  <c r="K29" i="125"/>
  <c r="J29" i="125"/>
  <c r="I29" i="125"/>
  <c r="H29" i="125"/>
  <c r="G29" i="125"/>
  <c r="F29" i="125"/>
  <c r="E29" i="125"/>
  <c r="D29" i="125"/>
  <c r="C29" i="125"/>
  <c r="A28" i="125"/>
  <c r="A27" i="125"/>
  <c r="A26" i="125"/>
  <c r="A25" i="125"/>
  <c r="A24" i="125"/>
  <c r="A23" i="125"/>
  <c r="A22" i="125"/>
  <c r="A21" i="125"/>
  <c r="A20" i="125"/>
  <c r="A19" i="125"/>
  <c r="N17" i="125"/>
  <c r="M17" i="125"/>
  <c r="L17" i="125"/>
  <c r="K17" i="125"/>
  <c r="J17" i="125"/>
  <c r="I17" i="125"/>
  <c r="H17" i="125"/>
  <c r="G17" i="125"/>
  <c r="F17" i="125"/>
  <c r="E17" i="125"/>
  <c r="D17" i="125"/>
  <c r="C17" i="125"/>
  <c r="A16" i="125"/>
  <c r="A14" i="125"/>
  <c r="N13" i="125"/>
  <c r="M13" i="125"/>
  <c r="L13" i="125"/>
  <c r="K13" i="125"/>
  <c r="J13" i="125"/>
  <c r="I13" i="125"/>
  <c r="H13" i="125"/>
  <c r="G13" i="125"/>
  <c r="F13" i="125"/>
  <c r="E13" i="125"/>
  <c r="D13" i="125"/>
  <c r="C13" i="125"/>
  <c r="A11" i="125"/>
  <c r="A10" i="125"/>
  <c r="A9" i="125"/>
  <c r="A8" i="125"/>
  <c r="A7" i="125"/>
  <c r="A6" i="125"/>
  <c r="A5" i="125"/>
  <c r="A4" i="125"/>
  <c r="A3" i="125"/>
  <c r="A2" i="125"/>
  <c r="N29" i="124"/>
  <c r="M29" i="124"/>
  <c r="L29" i="124"/>
  <c r="K29" i="124"/>
  <c r="J29" i="124"/>
  <c r="I29" i="124"/>
  <c r="H29" i="124"/>
  <c r="G29" i="124"/>
  <c r="F29" i="124"/>
  <c r="E29" i="124"/>
  <c r="D29" i="124"/>
  <c r="C29" i="124"/>
  <c r="A28" i="124"/>
  <c r="A27" i="124"/>
  <c r="A26" i="124"/>
  <c r="A25" i="124"/>
  <c r="A24" i="124"/>
  <c r="A23" i="124"/>
  <c r="A22" i="124"/>
  <c r="A21" i="124"/>
  <c r="A20" i="124"/>
  <c r="A19" i="124"/>
  <c r="N17" i="124"/>
  <c r="M17" i="124"/>
  <c r="L17" i="124"/>
  <c r="K17" i="124"/>
  <c r="J17" i="124"/>
  <c r="I17" i="124"/>
  <c r="H17" i="124"/>
  <c r="G17" i="124"/>
  <c r="F17" i="124"/>
  <c r="E17" i="124"/>
  <c r="A17" i="124" s="1"/>
  <c r="D17" i="124"/>
  <c r="C17" i="124"/>
  <c r="A16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29" i="123"/>
  <c r="M29" i="123"/>
  <c r="L29" i="123"/>
  <c r="K29" i="123"/>
  <c r="J29" i="123"/>
  <c r="I29" i="123"/>
  <c r="H29" i="123"/>
  <c r="G29" i="123"/>
  <c r="F29" i="123"/>
  <c r="E29" i="123"/>
  <c r="D29" i="123"/>
  <c r="C29" i="123"/>
  <c r="A28" i="123"/>
  <c r="A27" i="123"/>
  <c r="A26" i="123"/>
  <c r="A25" i="123"/>
  <c r="A24" i="123"/>
  <c r="A23" i="123"/>
  <c r="A22" i="123"/>
  <c r="A21" i="123"/>
  <c r="A20" i="123"/>
  <c r="A19" i="123"/>
  <c r="N17" i="123"/>
  <c r="M17" i="123"/>
  <c r="L17" i="123"/>
  <c r="K17" i="123"/>
  <c r="J17" i="123"/>
  <c r="I17" i="123"/>
  <c r="H17" i="123"/>
  <c r="G17" i="123"/>
  <c r="F17" i="123"/>
  <c r="E17" i="123"/>
  <c r="D17" i="123"/>
  <c r="C17" i="123"/>
  <c r="A16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29" i="122"/>
  <c r="M29" i="122"/>
  <c r="L29" i="122"/>
  <c r="K29" i="122"/>
  <c r="J29" i="122"/>
  <c r="I29" i="122"/>
  <c r="H29" i="122"/>
  <c r="G29" i="122"/>
  <c r="F29" i="122"/>
  <c r="E29" i="122"/>
  <c r="D29" i="122"/>
  <c r="C29" i="122"/>
  <c r="A28" i="122"/>
  <c r="A27" i="122"/>
  <c r="A26" i="122"/>
  <c r="A25" i="122"/>
  <c r="A24" i="122"/>
  <c r="A23" i="122"/>
  <c r="A22" i="122"/>
  <c r="A21" i="122"/>
  <c r="A20" i="122"/>
  <c r="A19" i="122"/>
  <c r="N17" i="122"/>
  <c r="M17" i="122"/>
  <c r="L17" i="122"/>
  <c r="K17" i="122"/>
  <c r="J17" i="122"/>
  <c r="I17" i="122"/>
  <c r="H17" i="122"/>
  <c r="G17" i="122"/>
  <c r="F17" i="122"/>
  <c r="E17" i="122"/>
  <c r="D17" i="122"/>
  <c r="C17" i="122"/>
  <c r="A16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N29" i="121"/>
  <c r="M29" i="121"/>
  <c r="L29" i="121"/>
  <c r="K29" i="121"/>
  <c r="J29" i="121"/>
  <c r="I29" i="121"/>
  <c r="H29" i="121"/>
  <c r="G29" i="121"/>
  <c r="F29" i="121"/>
  <c r="E29" i="121"/>
  <c r="D29" i="121"/>
  <c r="C29" i="121"/>
  <c r="A28" i="121"/>
  <c r="A27" i="121"/>
  <c r="A26" i="121"/>
  <c r="A25" i="121"/>
  <c r="A24" i="121"/>
  <c r="A23" i="121"/>
  <c r="A22" i="121"/>
  <c r="A21" i="121"/>
  <c r="A20" i="121"/>
  <c r="A19" i="121"/>
  <c r="N17" i="121"/>
  <c r="M17" i="121"/>
  <c r="L17" i="121"/>
  <c r="K17" i="121"/>
  <c r="J17" i="121"/>
  <c r="I17" i="121"/>
  <c r="H17" i="121"/>
  <c r="G17" i="121"/>
  <c r="F17" i="121"/>
  <c r="E17" i="121"/>
  <c r="D17" i="121"/>
  <c r="C17" i="121"/>
  <c r="A16" i="121"/>
  <c r="A14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N29" i="120"/>
  <c r="M29" i="120"/>
  <c r="L29" i="120"/>
  <c r="K29" i="120"/>
  <c r="J29" i="120"/>
  <c r="I29" i="120"/>
  <c r="H29" i="120"/>
  <c r="G29" i="120"/>
  <c r="F29" i="120"/>
  <c r="E29" i="120"/>
  <c r="D29" i="120"/>
  <c r="C29" i="120"/>
  <c r="A28" i="120"/>
  <c r="A27" i="120"/>
  <c r="A26" i="120"/>
  <c r="A25" i="120"/>
  <c r="A24" i="120"/>
  <c r="A23" i="120"/>
  <c r="A22" i="120"/>
  <c r="A21" i="120"/>
  <c r="A20" i="120"/>
  <c r="A19" i="120"/>
  <c r="N17" i="120"/>
  <c r="M17" i="120"/>
  <c r="L17" i="120"/>
  <c r="K17" i="120"/>
  <c r="J17" i="120"/>
  <c r="I17" i="120"/>
  <c r="H17" i="120"/>
  <c r="G17" i="120"/>
  <c r="F17" i="120"/>
  <c r="E17" i="120"/>
  <c r="D17" i="120"/>
  <c r="C17" i="120"/>
  <c r="A16" i="120"/>
  <c r="A14" i="120"/>
  <c r="N13" i="120"/>
  <c r="M13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8" i="120"/>
  <c r="A7" i="120"/>
  <c r="A6" i="120"/>
  <c r="A5" i="120"/>
  <c r="A4" i="120"/>
  <c r="A3" i="120"/>
  <c r="A2" i="120"/>
  <c r="N29" i="119"/>
  <c r="M29" i="119"/>
  <c r="L29" i="119"/>
  <c r="K29" i="119"/>
  <c r="J29" i="119"/>
  <c r="I29" i="119"/>
  <c r="H29" i="119"/>
  <c r="G29" i="119"/>
  <c r="F29" i="119"/>
  <c r="E29" i="119"/>
  <c r="D29" i="119"/>
  <c r="C29" i="119"/>
  <c r="A28" i="119"/>
  <c r="A27" i="119"/>
  <c r="A26" i="119"/>
  <c r="A25" i="119"/>
  <c r="A24" i="119"/>
  <c r="A23" i="119"/>
  <c r="A22" i="119"/>
  <c r="A21" i="119"/>
  <c r="A20" i="119"/>
  <c r="A19" i="119"/>
  <c r="N17" i="119"/>
  <c r="M17" i="119"/>
  <c r="L17" i="119"/>
  <c r="K17" i="119"/>
  <c r="J17" i="119"/>
  <c r="I17" i="119"/>
  <c r="H17" i="119"/>
  <c r="G17" i="119"/>
  <c r="F17" i="119"/>
  <c r="E17" i="119"/>
  <c r="D17" i="119"/>
  <c r="C17" i="119"/>
  <c r="A16" i="119"/>
  <c r="A14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N29" i="118"/>
  <c r="M29" i="118"/>
  <c r="L29" i="118"/>
  <c r="K29" i="118"/>
  <c r="J29" i="118"/>
  <c r="I29" i="118"/>
  <c r="H29" i="118"/>
  <c r="G29" i="118"/>
  <c r="F29" i="118"/>
  <c r="E29" i="118"/>
  <c r="D29" i="118"/>
  <c r="C29" i="118"/>
  <c r="A28" i="118"/>
  <c r="A27" i="118"/>
  <c r="A26" i="118"/>
  <c r="A25" i="118"/>
  <c r="A24" i="118"/>
  <c r="A23" i="118"/>
  <c r="A22" i="118"/>
  <c r="A21" i="118"/>
  <c r="A20" i="118"/>
  <c r="A19" i="118"/>
  <c r="N17" i="118"/>
  <c r="M17" i="118"/>
  <c r="L17" i="118"/>
  <c r="K17" i="118"/>
  <c r="J17" i="118"/>
  <c r="I17" i="118"/>
  <c r="H17" i="118"/>
  <c r="G17" i="118"/>
  <c r="F17" i="118"/>
  <c r="E17" i="118"/>
  <c r="D17" i="118"/>
  <c r="C17" i="118"/>
  <c r="A16" i="118"/>
  <c r="A14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A11" i="118"/>
  <c r="A10" i="118"/>
  <c r="A9" i="118"/>
  <c r="A8" i="118"/>
  <c r="A7" i="118"/>
  <c r="A6" i="118"/>
  <c r="A5" i="118"/>
  <c r="A4" i="118"/>
  <c r="A3" i="118"/>
  <c r="A2" i="118"/>
  <c r="N29" i="117"/>
  <c r="M29" i="117"/>
  <c r="L29" i="117"/>
  <c r="K29" i="117"/>
  <c r="J29" i="117"/>
  <c r="I29" i="117"/>
  <c r="H29" i="117"/>
  <c r="G29" i="117"/>
  <c r="F29" i="117"/>
  <c r="E29" i="117"/>
  <c r="D29" i="117"/>
  <c r="C29" i="117"/>
  <c r="A28" i="117"/>
  <c r="A27" i="117"/>
  <c r="A26" i="117"/>
  <c r="A25" i="117"/>
  <c r="A24" i="117"/>
  <c r="A23" i="117"/>
  <c r="A22" i="117"/>
  <c r="A21" i="117"/>
  <c r="A20" i="117"/>
  <c r="A19" i="117"/>
  <c r="N17" i="117"/>
  <c r="M17" i="117"/>
  <c r="L17" i="117"/>
  <c r="K17" i="117"/>
  <c r="J17" i="117"/>
  <c r="I17" i="117"/>
  <c r="H17" i="117"/>
  <c r="G17" i="117"/>
  <c r="F17" i="117"/>
  <c r="E17" i="117"/>
  <c r="D17" i="117"/>
  <c r="C17" i="117"/>
  <c r="A16" i="117"/>
  <c r="A14" i="117"/>
  <c r="N13" i="117"/>
  <c r="M13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29" i="116"/>
  <c r="M29" i="116"/>
  <c r="L29" i="116"/>
  <c r="K29" i="116"/>
  <c r="J29" i="116"/>
  <c r="I29" i="116"/>
  <c r="H29" i="116"/>
  <c r="G29" i="116"/>
  <c r="F29" i="116"/>
  <c r="E29" i="116"/>
  <c r="D29" i="116"/>
  <c r="C29" i="116"/>
  <c r="A28" i="116"/>
  <c r="A27" i="116"/>
  <c r="A26" i="116"/>
  <c r="A25" i="116"/>
  <c r="A24" i="116"/>
  <c r="A23" i="116"/>
  <c r="A22" i="116"/>
  <c r="A21" i="116"/>
  <c r="A20" i="116"/>
  <c r="A19" i="116"/>
  <c r="N17" i="116"/>
  <c r="M17" i="116"/>
  <c r="L17" i="116"/>
  <c r="K17" i="116"/>
  <c r="J17" i="116"/>
  <c r="I17" i="116"/>
  <c r="H17" i="116"/>
  <c r="G17" i="116"/>
  <c r="F17" i="116"/>
  <c r="E17" i="116"/>
  <c r="D17" i="116"/>
  <c r="C17" i="116"/>
  <c r="A16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N29" i="115"/>
  <c r="M29" i="115"/>
  <c r="L29" i="115"/>
  <c r="K29" i="115"/>
  <c r="J29" i="115"/>
  <c r="I29" i="115"/>
  <c r="H29" i="115"/>
  <c r="G29" i="115"/>
  <c r="F29" i="115"/>
  <c r="E29" i="115"/>
  <c r="D29" i="115"/>
  <c r="C29" i="115"/>
  <c r="A28" i="115"/>
  <c r="A27" i="115"/>
  <c r="A26" i="115"/>
  <c r="A25" i="115"/>
  <c r="A24" i="115"/>
  <c r="A23" i="115"/>
  <c r="A22" i="115"/>
  <c r="A21" i="115"/>
  <c r="A20" i="115"/>
  <c r="A19" i="115"/>
  <c r="N17" i="115"/>
  <c r="M17" i="115"/>
  <c r="L17" i="115"/>
  <c r="K17" i="115"/>
  <c r="J17" i="115"/>
  <c r="I17" i="115"/>
  <c r="H17" i="115"/>
  <c r="G17" i="115"/>
  <c r="F17" i="115"/>
  <c r="E17" i="115"/>
  <c r="D17" i="115"/>
  <c r="C17" i="115"/>
  <c r="A16" i="115"/>
  <c r="A14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A11" i="115"/>
  <c r="A10" i="115"/>
  <c r="A9" i="115"/>
  <c r="A8" i="115"/>
  <c r="A7" i="115"/>
  <c r="A6" i="115"/>
  <c r="A5" i="115"/>
  <c r="A4" i="115"/>
  <c r="A3" i="115"/>
  <c r="A2" i="115"/>
  <c r="N29" i="114"/>
  <c r="M29" i="114"/>
  <c r="L29" i="114"/>
  <c r="K29" i="114"/>
  <c r="J29" i="114"/>
  <c r="I29" i="114"/>
  <c r="H29" i="114"/>
  <c r="G29" i="114"/>
  <c r="F29" i="114"/>
  <c r="E29" i="114"/>
  <c r="D29" i="114"/>
  <c r="C29" i="114"/>
  <c r="A28" i="114"/>
  <c r="A27" i="114"/>
  <c r="A26" i="114"/>
  <c r="A25" i="114"/>
  <c r="A24" i="114"/>
  <c r="A23" i="114"/>
  <c r="A22" i="114"/>
  <c r="A21" i="114"/>
  <c r="A20" i="114"/>
  <c r="A19" i="114"/>
  <c r="N17" i="114"/>
  <c r="M17" i="114"/>
  <c r="L17" i="114"/>
  <c r="K17" i="114"/>
  <c r="J17" i="114"/>
  <c r="I17" i="114"/>
  <c r="H17" i="114"/>
  <c r="G17" i="114"/>
  <c r="F17" i="114"/>
  <c r="E17" i="114"/>
  <c r="D17" i="114"/>
  <c r="C17" i="114"/>
  <c r="A16" i="114"/>
  <c r="A14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N29" i="113"/>
  <c r="M29" i="113"/>
  <c r="L29" i="113"/>
  <c r="K29" i="113"/>
  <c r="J29" i="113"/>
  <c r="I29" i="113"/>
  <c r="H29" i="113"/>
  <c r="G29" i="113"/>
  <c r="F29" i="113"/>
  <c r="E29" i="113"/>
  <c r="D29" i="113"/>
  <c r="C29" i="113"/>
  <c r="A28" i="113"/>
  <c r="A27" i="113"/>
  <c r="A26" i="113"/>
  <c r="A25" i="113"/>
  <c r="A24" i="113"/>
  <c r="A23" i="113"/>
  <c r="A22" i="113"/>
  <c r="A21" i="113"/>
  <c r="A20" i="113"/>
  <c r="A19" i="113"/>
  <c r="N17" i="113"/>
  <c r="M17" i="113"/>
  <c r="L17" i="113"/>
  <c r="K17" i="113"/>
  <c r="J17" i="113"/>
  <c r="I17" i="113"/>
  <c r="H17" i="113"/>
  <c r="G17" i="113"/>
  <c r="F17" i="113"/>
  <c r="E17" i="113"/>
  <c r="D17" i="113"/>
  <c r="C17" i="113"/>
  <c r="A16" i="113"/>
  <c r="A14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N29" i="112"/>
  <c r="M29" i="112"/>
  <c r="L29" i="112"/>
  <c r="K29" i="112"/>
  <c r="J29" i="112"/>
  <c r="I29" i="112"/>
  <c r="H29" i="112"/>
  <c r="G29" i="112"/>
  <c r="F29" i="112"/>
  <c r="E29" i="112"/>
  <c r="D29" i="112"/>
  <c r="C29" i="112"/>
  <c r="A28" i="112"/>
  <c r="A27" i="112"/>
  <c r="A26" i="112"/>
  <c r="A25" i="112"/>
  <c r="A24" i="112"/>
  <c r="A23" i="112"/>
  <c r="A22" i="112"/>
  <c r="A21" i="112"/>
  <c r="A20" i="112"/>
  <c r="A19" i="112"/>
  <c r="N17" i="112"/>
  <c r="M17" i="112"/>
  <c r="L17" i="112"/>
  <c r="K17" i="112"/>
  <c r="J17" i="112"/>
  <c r="I17" i="112"/>
  <c r="H17" i="112"/>
  <c r="G17" i="112"/>
  <c r="F17" i="112"/>
  <c r="E17" i="112"/>
  <c r="D17" i="112"/>
  <c r="C17" i="112"/>
  <c r="A16" i="112"/>
  <c r="A14" i="112"/>
  <c r="N13" i="112"/>
  <c r="M13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N29" i="111"/>
  <c r="M29" i="111"/>
  <c r="L29" i="111"/>
  <c r="K29" i="111"/>
  <c r="J29" i="111"/>
  <c r="I29" i="111"/>
  <c r="H29" i="111"/>
  <c r="G29" i="111"/>
  <c r="F29" i="111"/>
  <c r="E29" i="111"/>
  <c r="D29" i="111"/>
  <c r="C29" i="111"/>
  <c r="A28" i="111"/>
  <c r="A27" i="111"/>
  <c r="A26" i="111"/>
  <c r="A25" i="111"/>
  <c r="A24" i="111"/>
  <c r="A23" i="111"/>
  <c r="A22" i="111"/>
  <c r="A21" i="111"/>
  <c r="A20" i="111"/>
  <c r="A19" i="111"/>
  <c r="N17" i="111"/>
  <c r="M17" i="111"/>
  <c r="L17" i="111"/>
  <c r="K17" i="111"/>
  <c r="J17" i="111"/>
  <c r="I17" i="111"/>
  <c r="H17" i="111"/>
  <c r="G17" i="111"/>
  <c r="F17" i="111"/>
  <c r="E17" i="111"/>
  <c r="D17" i="111"/>
  <c r="C17" i="111"/>
  <c r="A16" i="111"/>
  <c r="A14" i="111"/>
  <c r="N13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N29" i="110"/>
  <c r="M29" i="110"/>
  <c r="L29" i="110"/>
  <c r="K29" i="110"/>
  <c r="J29" i="110"/>
  <c r="I29" i="110"/>
  <c r="H29" i="110"/>
  <c r="G29" i="110"/>
  <c r="F29" i="110"/>
  <c r="E29" i="110"/>
  <c r="D29" i="110"/>
  <c r="C29" i="110"/>
  <c r="A28" i="110"/>
  <c r="A27" i="110"/>
  <c r="A26" i="110"/>
  <c r="A25" i="110"/>
  <c r="A24" i="110"/>
  <c r="A23" i="110"/>
  <c r="A22" i="110"/>
  <c r="A21" i="110"/>
  <c r="A20" i="110"/>
  <c r="A19" i="110"/>
  <c r="N17" i="110"/>
  <c r="M17" i="110"/>
  <c r="L17" i="110"/>
  <c r="K17" i="110"/>
  <c r="J17" i="110"/>
  <c r="I17" i="110"/>
  <c r="H17" i="110"/>
  <c r="G17" i="110"/>
  <c r="F17" i="110"/>
  <c r="E17" i="110"/>
  <c r="D17" i="110"/>
  <c r="C17" i="110"/>
  <c r="A16" i="110"/>
  <c r="A14" i="110"/>
  <c r="N13" i="110"/>
  <c r="M13" i="110"/>
  <c r="L13" i="110"/>
  <c r="K13" i="110"/>
  <c r="J13" i="110"/>
  <c r="I13" i="110"/>
  <c r="H13" i="110"/>
  <c r="G13" i="110"/>
  <c r="F13" i="110"/>
  <c r="E13" i="110"/>
  <c r="D13" i="110"/>
  <c r="C13" i="110"/>
  <c r="A11" i="110"/>
  <c r="A10" i="110"/>
  <c r="A9" i="110"/>
  <c r="A8" i="110"/>
  <c r="A7" i="110"/>
  <c r="A6" i="110"/>
  <c r="A5" i="110"/>
  <c r="A4" i="110"/>
  <c r="A3" i="110"/>
  <c r="A2" i="110"/>
  <c r="N29" i="109"/>
  <c r="M29" i="109"/>
  <c r="L29" i="109"/>
  <c r="K29" i="109"/>
  <c r="J29" i="109"/>
  <c r="I29" i="109"/>
  <c r="H29" i="109"/>
  <c r="G29" i="109"/>
  <c r="F29" i="109"/>
  <c r="E29" i="109"/>
  <c r="D29" i="109"/>
  <c r="C29" i="109"/>
  <c r="A28" i="109"/>
  <c r="A27" i="109"/>
  <c r="A26" i="109"/>
  <c r="A25" i="109"/>
  <c r="A24" i="109"/>
  <c r="A23" i="109"/>
  <c r="A22" i="109"/>
  <c r="A21" i="109"/>
  <c r="A20" i="109"/>
  <c r="A19" i="109"/>
  <c r="N17" i="109"/>
  <c r="M17" i="109"/>
  <c r="L17" i="109"/>
  <c r="K17" i="109"/>
  <c r="J17" i="109"/>
  <c r="I17" i="109"/>
  <c r="H17" i="109"/>
  <c r="G17" i="109"/>
  <c r="F17" i="109"/>
  <c r="E17" i="109"/>
  <c r="D17" i="109"/>
  <c r="C17" i="109"/>
  <c r="A16" i="109"/>
  <c r="A14" i="109"/>
  <c r="N13" i="109"/>
  <c r="M13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29" i="107"/>
  <c r="M29" i="107"/>
  <c r="L29" i="107"/>
  <c r="K29" i="107"/>
  <c r="J29" i="107"/>
  <c r="I29" i="107"/>
  <c r="H29" i="107"/>
  <c r="G29" i="107"/>
  <c r="F29" i="107"/>
  <c r="E29" i="107"/>
  <c r="D29" i="107"/>
  <c r="C29" i="107"/>
  <c r="A28" i="107"/>
  <c r="A27" i="107"/>
  <c r="A26" i="107"/>
  <c r="A25" i="107"/>
  <c r="A24" i="107"/>
  <c r="A23" i="107"/>
  <c r="A22" i="107"/>
  <c r="A21" i="107"/>
  <c r="A20" i="107"/>
  <c r="A19" i="107"/>
  <c r="N17" i="107"/>
  <c r="M17" i="107"/>
  <c r="L17" i="107"/>
  <c r="K17" i="107"/>
  <c r="J17" i="107"/>
  <c r="I17" i="107"/>
  <c r="H17" i="107"/>
  <c r="G17" i="107"/>
  <c r="F17" i="107"/>
  <c r="E17" i="107"/>
  <c r="D17" i="107"/>
  <c r="C17" i="107"/>
  <c r="A16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A28" i="106"/>
  <c r="A27" i="106"/>
  <c r="A26" i="106"/>
  <c r="A25" i="106"/>
  <c r="A24" i="106"/>
  <c r="A23" i="106"/>
  <c r="A22" i="106"/>
  <c r="A21" i="106"/>
  <c r="A20" i="106"/>
  <c r="A19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A16" i="106"/>
  <c r="A14" i="106"/>
  <c r="N13" i="106"/>
  <c r="M13" i="106"/>
  <c r="L13" i="106"/>
  <c r="K13" i="106"/>
  <c r="J13" i="106"/>
  <c r="I13" i="106"/>
  <c r="H13" i="106"/>
  <c r="G13" i="106"/>
  <c r="F13" i="106"/>
  <c r="E13" i="106"/>
  <c r="D13" i="106"/>
  <c r="C13" i="106"/>
  <c r="A11" i="106"/>
  <c r="A10" i="106"/>
  <c r="A9" i="106"/>
  <c r="A8" i="106"/>
  <c r="A7" i="106"/>
  <c r="A6" i="106"/>
  <c r="A5" i="106"/>
  <c r="A4" i="106"/>
  <c r="A3" i="106"/>
  <c r="A2" i="106"/>
  <c r="N29" i="105"/>
  <c r="M29" i="105"/>
  <c r="L29" i="105"/>
  <c r="K29" i="105"/>
  <c r="J29" i="105"/>
  <c r="I29" i="105"/>
  <c r="H29" i="105"/>
  <c r="G29" i="105"/>
  <c r="F29" i="105"/>
  <c r="E29" i="105"/>
  <c r="D29" i="105"/>
  <c r="C29" i="105"/>
  <c r="A28" i="105"/>
  <c r="A27" i="105"/>
  <c r="A26" i="105"/>
  <c r="A25" i="105"/>
  <c r="A24" i="105"/>
  <c r="A23" i="105"/>
  <c r="A22" i="105"/>
  <c r="A21" i="105"/>
  <c r="A20" i="105"/>
  <c r="A19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A16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N29" i="104"/>
  <c r="M29" i="104"/>
  <c r="L29" i="104"/>
  <c r="K29" i="104"/>
  <c r="J29" i="104"/>
  <c r="I29" i="104"/>
  <c r="H29" i="104"/>
  <c r="G29" i="104"/>
  <c r="F29" i="104"/>
  <c r="E29" i="104"/>
  <c r="D29" i="104"/>
  <c r="C29" i="104"/>
  <c r="A28" i="104"/>
  <c r="A27" i="104"/>
  <c r="A26" i="104"/>
  <c r="A25" i="104"/>
  <c r="A24" i="104"/>
  <c r="A23" i="104"/>
  <c r="A22" i="104"/>
  <c r="A21" i="104"/>
  <c r="A20" i="104"/>
  <c r="A19" i="104"/>
  <c r="N17" i="104"/>
  <c r="M17" i="104"/>
  <c r="L17" i="104"/>
  <c r="K17" i="104"/>
  <c r="J17" i="104"/>
  <c r="I17" i="104"/>
  <c r="H17" i="104"/>
  <c r="G17" i="104"/>
  <c r="F17" i="104"/>
  <c r="E17" i="104"/>
  <c r="D17" i="104"/>
  <c r="C17" i="104"/>
  <c r="A16" i="104"/>
  <c r="A14" i="104"/>
  <c r="N13" i="104"/>
  <c r="M13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N29" i="103"/>
  <c r="M29" i="103"/>
  <c r="L29" i="103"/>
  <c r="K29" i="103"/>
  <c r="J29" i="103"/>
  <c r="I29" i="103"/>
  <c r="H29" i="103"/>
  <c r="G29" i="103"/>
  <c r="F29" i="103"/>
  <c r="E29" i="103"/>
  <c r="D29" i="103"/>
  <c r="C29" i="103"/>
  <c r="A28" i="103"/>
  <c r="A27" i="103"/>
  <c r="A26" i="103"/>
  <c r="A25" i="103"/>
  <c r="A24" i="103"/>
  <c r="A23" i="103"/>
  <c r="A22" i="103"/>
  <c r="A21" i="103"/>
  <c r="A20" i="103"/>
  <c r="A19" i="103"/>
  <c r="N17" i="103"/>
  <c r="M17" i="103"/>
  <c r="L17" i="103"/>
  <c r="K17" i="103"/>
  <c r="J17" i="103"/>
  <c r="I17" i="103"/>
  <c r="H17" i="103"/>
  <c r="G17" i="103"/>
  <c r="F17" i="103"/>
  <c r="E17" i="103"/>
  <c r="D17" i="103"/>
  <c r="C17" i="103"/>
  <c r="A16" i="103"/>
  <c r="A14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N29" i="102"/>
  <c r="M29" i="102"/>
  <c r="L29" i="102"/>
  <c r="K29" i="102"/>
  <c r="J29" i="102"/>
  <c r="I29" i="102"/>
  <c r="H29" i="102"/>
  <c r="G29" i="102"/>
  <c r="F29" i="102"/>
  <c r="E29" i="102"/>
  <c r="D29" i="102"/>
  <c r="C29" i="102"/>
  <c r="A28" i="102"/>
  <c r="A27" i="102"/>
  <c r="A26" i="102"/>
  <c r="A25" i="102"/>
  <c r="A24" i="102"/>
  <c r="A23" i="102"/>
  <c r="A22" i="102"/>
  <c r="A21" i="102"/>
  <c r="A20" i="102"/>
  <c r="A19" i="102"/>
  <c r="N17" i="102"/>
  <c r="M17" i="102"/>
  <c r="L17" i="102"/>
  <c r="K17" i="102"/>
  <c r="J17" i="102"/>
  <c r="I17" i="102"/>
  <c r="H17" i="102"/>
  <c r="G17" i="102"/>
  <c r="F17" i="102"/>
  <c r="E17" i="102"/>
  <c r="D17" i="102"/>
  <c r="C17" i="102"/>
  <c r="A16" i="102"/>
  <c r="A14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N29" i="101"/>
  <c r="M29" i="101"/>
  <c r="L29" i="101"/>
  <c r="K29" i="101"/>
  <c r="J29" i="101"/>
  <c r="I29" i="101"/>
  <c r="H29" i="101"/>
  <c r="G29" i="101"/>
  <c r="F29" i="101"/>
  <c r="E29" i="101"/>
  <c r="D29" i="101"/>
  <c r="C29" i="101"/>
  <c r="A28" i="101"/>
  <c r="A27" i="101"/>
  <c r="A26" i="101"/>
  <c r="A25" i="101"/>
  <c r="A24" i="101"/>
  <c r="A23" i="101"/>
  <c r="A22" i="101"/>
  <c r="A21" i="101"/>
  <c r="A20" i="101"/>
  <c r="A19" i="101"/>
  <c r="N17" i="101"/>
  <c r="M17" i="101"/>
  <c r="L17" i="101"/>
  <c r="K17" i="101"/>
  <c r="J17" i="101"/>
  <c r="I17" i="101"/>
  <c r="H17" i="101"/>
  <c r="G17" i="101"/>
  <c r="F17" i="101"/>
  <c r="E17" i="101"/>
  <c r="D17" i="101"/>
  <c r="C17" i="101"/>
  <c r="A16" i="101"/>
  <c r="A14" i="101"/>
  <c r="N13" i="101"/>
  <c r="M13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N29" i="100"/>
  <c r="M29" i="100"/>
  <c r="L29" i="100"/>
  <c r="K29" i="100"/>
  <c r="J29" i="100"/>
  <c r="I29" i="100"/>
  <c r="H29" i="100"/>
  <c r="G29" i="100"/>
  <c r="F29" i="100"/>
  <c r="E29" i="100"/>
  <c r="D29" i="100"/>
  <c r="C29" i="100"/>
  <c r="A28" i="100"/>
  <c r="A27" i="100"/>
  <c r="A26" i="100"/>
  <c r="A25" i="100"/>
  <c r="A24" i="100"/>
  <c r="A23" i="100"/>
  <c r="A22" i="100"/>
  <c r="A21" i="100"/>
  <c r="A20" i="100"/>
  <c r="A19" i="100"/>
  <c r="N17" i="100"/>
  <c r="M17" i="100"/>
  <c r="L17" i="100"/>
  <c r="K17" i="100"/>
  <c r="J17" i="100"/>
  <c r="I17" i="100"/>
  <c r="H17" i="100"/>
  <c r="G17" i="100"/>
  <c r="F17" i="100"/>
  <c r="E17" i="100"/>
  <c r="D17" i="100"/>
  <c r="C17" i="100"/>
  <c r="A16" i="100"/>
  <c r="A14" i="100"/>
  <c r="N13" i="100"/>
  <c r="M13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N29" i="99"/>
  <c r="M29" i="99"/>
  <c r="L29" i="99"/>
  <c r="K29" i="99"/>
  <c r="J29" i="99"/>
  <c r="I29" i="99"/>
  <c r="H29" i="99"/>
  <c r="G29" i="99"/>
  <c r="F29" i="99"/>
  <c r="E29" i="99"/>
  <c r="D29" i="99"/>
  <c r="C29" i="99"/>
  <c r="A28" i="99"/>
  <c r="A27" i="99"/>
  <c r="A26" i="99"/>
  <c r="A25" i="99"/>
  <c r="A24" i="99"/>
  <c r="A23" i="99"/>
  <c r="A22" i="99"/>
  <c r="A21" i="99"/>
  <c r="A20" i="99"/>
  <c r="A19" i="99"/>
  <c r="N17" i="99"/>
  <c r="M17" i="99"/>
  <c r="L17" i="99"/>
  <c r="K17" i="99"/>
  <c r="J17" i="99"/>
  <c r="I17" i="99"/>
  <c r="H17" i="99"/>
  <c r="G17" i="99"/>
  <c r="F17" i="99"/>
  <c r="E17" i="99"/>
  <c r="D17" i="99"/>
  <c r="C17" i="99"/>
  <c r="A16" i="99"/>
  <c r="A14" i="99"/>
  <c r="N13" i="99"/>
  <c r="M13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N29" i="98"/>
  <c r="M29" i="98"/>
  <c r="L29" i="98"/>
  <c r="K29" i="98"/>
  <c r="J29" i="98"/>
  <c r="I29" i="98"/>
  <c r="H29" i="98"/>
  <c r="G29" i="98"/>
  <c r="F29" i="98"/>
  <c r="E29" i="98"/>
  <c r="D29" i="98"/>
  <c r="C29" i="98"/>
  <c r="A28" i="98"/>
  <c r="A27" i="98"/>
  <c r="A26" i="98"/>
  <c r="A25" i="98"/>
  <c r="A24" i="98"/>
  <c r="A23" i="98"/>
  <c r="A22" i="98"/>
  <c r="A21" i="98"/>
  <c r="A20" i="98"/>
  <c r="A19" i="98"/>
  <c r="N17" i="98"/>
  <c r="M17" i="98"/>
  <c r="L17" i="98"/>
  <c r="K17" i="98"/>
  <c r="J17" i="98"/>
  <c r="I17" i="98"/>
  <c r="H17" i="98"/>
  <c r="G17" i="98"/>
  <c r="F17" i="98"/>
  <c r="E17" i="98"/>
  <c r="D17" i="98"/>
  <c r="C17" i="98"/>
  <c r="A16" i="98"/>
  <c r="A14" i="98"/>
  <c r="N13" i="98"/>
  <c r="M13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N29" i="97"/>
  <c r="M29" i="97"/>
  <c r="L29" i="97"/>
  <c r="K29" i="97"/>
  <c r="J29" i="97"/>
  <c r="I29" i="97"/>
  <c r="H29" i="97"/>
  <c r="G29" i="97"/>
  <c r="F29" i="97"/>
  <c r="E29" i="97"/>
  <c r="D29" i="97"/>
  <c r="C29" i="97"/>
  <c r="A28" i="97"/>
  <c r="A27" i="97"/>
  <c r="A26" i="97"/>
  <c r="A25" i="97"/>
  <c r="A24" i="97"/>
  <c r="A23" i="97"/>
  <c r="A22" i="97"/>
  <c r="A21" i="97"/>
  <c r="A20" i="97"/>
  <c r="A19" i="97"/>
  <c r="N17" i="97"/>
  <c r="M17" i="97"/>
  <c r="L17" i="97"/>
  <c r="K17" i="97"/>
  <c r="J17" i="97"/>
  <c r="I17" i="97"/>
  <c r="H17" i="97"/>
  <c r="G17" i="97"/>
  <c r="F17" i="97"/>
  <c r="E17" i="97"/>
  <c r="D17" i="97"/>
  <c r="C17" i="97"/>
  <c r="A16" i="97"/>
  <c r="A14" i="97"/>
  <c r="N13" i="97"/>
  <c r="M13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29" i="96"/>
  <c r="M29" i="96"/>
  <c r="L29" i="96"/>
  <c r="K29" i="96"/>
  <c r="J29" i="96"/>
  <c r="I29" i="96"/>
  <c r="H29" i="96"/>
  <c r="G29" i="96"/>
  <c r="F29" i="96"/>
  <c r="E29" i="96"/>
  <c r="D29" i="96"/>
  <c r="C29" i="96"/>
  <c r="A28" i="96"/>
  <c r="A27" i="96"/>
  <c r="A26" i="96"/>
  <c r="A25" i="96"/>
  <c r="A24" i="96"/>
  <c r="A23" i="96"/>
  <c r="A22" i="96"/>
  <c r="A21" i="96"/>
  <c r="A20" i="96"/>
  <c r="A19" i="96"/>
  <c r="N17" i="96"/>
  <c r="M17" i="96"/>
  <c r="L17" i="96"/>
  <c r="K17" i="96"/>
  <c r="J17" i="96"/>
  <c r="I17" i="96"/>
  <c r="H17" i="96"/>
  <c r="G17" i="96"/>
  <c r="F17" i="96"/>
  <c r="E17" i="96"/>
  <c r="D17" i="96"/>
  <c r="C17" i="96"/>
  <c r="A16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N29" i="95"/>
  <c r="M29" i="95"/>
  <c r="L29" i="95"/>
  <c r="K29" i="95"/>
  <c r="J29" i="95"/>
  <c r="I29" i="95"/>
  <c r="H29" i="95"/>
  <c r="G29" i="95"/>
  <c r="F29" i="95"/>
  <c r="E29" i="95"/>
  <c r="D29" i="95"/>
  <c r="C29" i="95"/>
  <c r="A28" i="95"/>
  <c r="A27" i="95"/>
  <c r="A26" i="95"/>
  <c r="A25" i="95"/>
  <c r="A24" i="95"/>
  <c r="A23" i="95"/>
  <c r="A22" i="95"/>
  <c r="A21" i="95"/>
  <c r="A20" i="95"/>
  <c r="A19" i="95"/>
  <c r="N17" i="95"/>
  <c r="M17" i="95"/>
  <c r="L17" i="95"/>
  <c r="K17" i="95"/>
  <c r="J17" i="95"/>
  <c r="I17" i="95"/>
  <c r="H17" i="95"/>
  <c r="G17" i="95"/>
  <c r="F17" i="95"/>
  <c r="E17" i="95"/>
  <c r="D17" i="95"/>
  <c r="C17" i="95"/>
  <c r="A17" i="95" s="1"/>
  <c r="A16" i="95"/>
  <c r="A14" i="95"/>
  <c r="N13" i="95"/>
  <c r="M13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N13" i="91"/>
  <c r="M13" i="91"/>
  <c r="L13" i="91"/>
  <c r="K13" i="91"/>
  <c r="J13" i="91"/>
  <c r="I13" i="91"/>
  <c r="H13" i="91"/>
  <c r="G13" i="91"/>
  <c r="F13" i="91"/>
  <c r="E13" i="91"/>
  <c r="D13" i="91"/>
  <c r="C13" i="91"/>
  <c r="N17" i="91"/>
  <c r="M17" i="91"/>
  <c r="L17" i="91"/>
  <c r="K17" i="91"/>
  <c r="J17" i="91"/>
  <c r="I17" i="91"/>
  <c r="H17" i="91"/>
  <c r="G17" i="91"/>
  <c r="F17" i="91"/>
  <c r="E17" i="91"/>
  <c r="C17" i="91"/>
  <c r="D17" i="91"/>
  <c r="N29" i="94"/>
  <c r="M29" i="94"/>
  <c r="L29" i="94"/>
  <c r="K29" i="94"/>
  <c r="J29" i="94"/>
  <c r="I29" i="94"/>
  <c r="H29" i="94"/>
  <c r="G29" i="94"/>
  <c r="F29" i="94"/>
  <c r="E29" i="94"/>
  <c r="D29" i="94"/>
  <c r="C29" i="94"/>
  <c r="A28" i="94"/>
  <c r="A27" i="94"/>
  <c r="A26" i="94"/>
  <c r="A25" i="94"/>
  <c r="A24" i="94"/>
  <c r="A23" i="94"/>
  <c r="A22" i="94"/>
  <c r="A21" i="94"/>
  <c r="A20" i="94"/>
  <c r="A19" i="94"/>
  <c r="N17" i="94"/>
  <c r="M17" i="94"/>
  <c r="L17" i="94"/>
  <c r="K17" i="94"/>
  <c r="J17" i="94"/>
  <c r="I17" i="94"/>
  <c r="H17" i="94"/>
  <c r="G17" i="94"/>
  <c r="F17" i="94"/>
  <c r="E17" i="94"/>
  <c r="D17" i="94"/>
  <c r="C17" i="94"/>
  <c r="A16" i="94"/>
  <c r="A14" i="94"/>
  <c r="N13" i="94"/>
  <c r="M13" i="94"/>
  <c r="L13" i="94"/>
  <c r="K13" i="94"/>
  <c r="J13" i="94"/>
  <c r="I13" i="94"/>
  <c r="H13" i="94"/>
  <c r="G13" i="94"/>
  <c r="F13" i="94"/>
  <c r="E13" i="94"/>
  <c r="D13" i="94"/>
  <c r="C13" i="94"/>
  <c r="A11" i="94"/>
  <c r="A10" i="94"/>
  <c r="A9" i="94"/>
  <c r="A8" i="94"/>
  <c r="A7" i="94"/>
  <c r="A6" i="94"/>
  <c r="A5" i="94"/>
  <c r="A4" i="94"/>
  <c r="A3" i="94"/>
  <c r="A2" i="94"/>
  <c r="N29" i="93"/>
  <c r="M29" i="93"/>
  <c r="L29" i="93"/>
  <c r="K29" i="93"/>
  <c r="J29" i="93"/>
  <c r="I29" i="93"/>
  <c r="H29" i="93"/>
  <c r="G29" i="93"/>
  <c r="F29" i="93"/>
  <c r="E29" i="93"/>
  <c r="D29" i="93"/>
  <c r="C29" i="93"/>
  <c r="A28" i="93"/>
  <c r="A27" i="93"/>
  <c r="A26" i="93"/>
  <c r="A25" i="93"/>
  <c r="A24" i="93"/>
  <c r="A23" i="93"/>
  <c r="A22" i="93"/>
  <c r="A21" i="93"/>
  <c r="A20" i="93"/>
  <c r="A19" i="93"/>
  <c r="N17" i="93"/>
  <c r="M17" i="93"/>
  <c r="L17" i="93"/>
  <c r="K17" i="93"/>
  <c r="J17" i="93"/>
  <c r="I17" i="93"/>
  <c r="H17" i="93"/>
  <c r="G17" i="93"/>
  <c r="F17" i="93"/>
  <c r="E17" i="93"/>
  <c r="D17" i="93"/>
  <c r="C17" i="93"/>
  <c r="A16" i="93"/>
  <c r="A14" i="93"/>
  <c r="N13" i="93"/>
  <c r="M13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29" i="92"/>
  <c r="M29" i="92"/>
  <c r="L29" i="92"/>
  <c r="K29" i="92"/>
  <c r="J29" i="92"/>
  <c r="I29" i="92"/>
  <c r="H29" i="92"/>
  <c r="G29" i="92"/>
  <c r="F29" i="92"/>
  <c r="E29" i="92"/>
  <c r="D29" i="92"/>
  <c r="C29" i="92"/>
  <c r="A28" i="92"/>
  <c r="A27" i="92"/>
  <c r="A26" i="92"/>
  <c r="A25" i="92"/>
  <c r="A24" i="92"/>
  <c r="A23" i="92"/>
  <c r="A22" i="92"/>
  <c r="A21" i="92"/>
  <c r="A20" i="92"/>
  <c r="A19" i="92"/>
  <c r="N17" i="92"/>
  <c r="M17" i="92"/>
  <c r="L17" i="92"/>
  <c r="K17" i="92"/>
  <c r="J17" i="92"/>
  <c r="I17" i="92"/>
  <c r="H17" i="92"/>
  <c r="G17" i="92"/>
  <c r="F17" i="92"/>
  <c r="E17" i="92"/>
  <c r="D17" i="92"/>
  <c r="C17" i="92"/>
  <c r="A16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7" i="90"/>
  <c r="M17" i="90"/>
  <c r="L17" i="90"/>
  <c r="K17" i="90"/>
  <c r="J17" i="90"/>
  <c r="I17" i="90"/>
  <c r="H17" i="90"/>
  <c r="G17" i="90"/>
  <c r="F17" i="90"/>
  <c r="E17" i="90"/>
  <c r="D17" i="90"/>
  <c r="C17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7" i="85"/>
  <c r="M17" i="85"/>
  <c r="L17" i="85"/>
  <c r="K17" i="85"/>
  <c r="J17" i="85"/>
  <c r="I17" i="85"/>
  <c r="H17" i="85"/>
  <c r="G17" i="85"/>
  <c r="F17" i="85"/>
  <c r="E17" i="85"/>
  <c r="C17" i="85"/>
  <c r="D17" i="85"/>
  <c r="N29" i="91"/>
  <c r="M29" i="91"/>
  <c r="L29" i="91"/>
  <c r="K29" i="91"/>
  <c r="J29" i="91"/>
  <c r="I29" i="91"/>
  <c r="H29" i="91"/>
  <c r="G29" i="91"/>
  <c r="F29" i="91"/>
  <c r="E29" i="91"/>
  <c r="D29" i="91"/>
  <c r="C29" i="91"/>
  <c r="A28" i="91"/>
  <c r="A27" i="91"/>
  <c r="A26" i="91"/>
  <c r="A25" i="91"/>
  <c r="A24" i="91"/>
  <c r="A23" i="91"/>
  <c r="A22" i="91"/>
  <c r="A21" i="91"/>
  <c r="A20" i="91"/>
  <c r="A19" i="91"/>
  <c r="A16" i="91"/>
  <c r="A14" i="91"/>
  <c r="A11" i="91"/>
  <c r="A10" i="91"/>
  <c r="A9" i="91"/>
  <c r="A8" i="91"/>
  <c r="A7" i="91"/>
  <c r="A6" i="91"/>
  <c r="A5" i="91"/>
  <c r="A4" i="91"/>
  <c r="A3" i="91"/>
  <c r="A2" i="91"/>
  <c r="N29" i="90"/>
  <c r="M29" i="90"/>
  <c r="L29" i="90"/>
  <c r="K29" i="90"/>
  <c r="J29" i="90"/>
  <c r="I29" i="90"/>
  <c r="H29" i="90"/>
  <c r="G29" i="90"/>
  <c r="F29" i="90"/>
  <c r="E29" i="90"/>
  <c r="D29" i="90"/>
  <c r="C29" i="90"/>
  <c r="A28" i="90"/>
  <c r="A27" i="90"/>
  <c r="A26" i="90"/>
  <c r="A25" i="90"/>
  <c r="A24" i="90"/>
  <c r="A23" i="90"/>
  <c r="A22" i="90"/>
  <c r="A21" i="90"/>
  <c r="A20" i="90"/>
  <c r="A19" i="90"/>
  <c r="A16" i="90"/>
  <c r="A14" i="90"/>
  <c r="A11" i="90"/>
  <c r="A10" i="90"/>
  <c r="A9" i="90"/>
  <c r="A8" i="90"/>
  <c r="A7" i="90"/>
  <c r="A6" i="90"/>
  <c r="A5" i="90"/>
  <c r="A4" i="90"/>
  <c r="A3" i="90"/>
  <c r="A2" i="90"/>
  <c r="A28" i="85"/>
  <c r="A27" i="85"/>
  <c r="A26" i="85"/>
  <c r="A25" i="85"/>
  <c r="A24" i="85"/>
  <c r="A23" i="85"/>
  <c r="A22" i="85"/>
  <c r="A21" i="85"/>
  <c r="A20" i="85"/>
  <c r="A19" i="85"/>
  <c r="A11" i="85"/>
  <c r="A10" i="85"/>
  <c r="A9" i="85"/>
  <c r="A8" i="85"/>
  <c r="A7" i="85"/>
  <c r="A6" i="85"/>
  <c r="A5" i="85"/>
  <c r="A4" i="85"/>
  <c r="A3" i="85"/>
  <c r="A2" i="85"/>
  <c r="N29" i="85"/>
  <c r="M29" i="85"/>
  <c r="L29" i="85"/>
  <c r="K29" i="85"/>
  <c r="J29" i="85"/>
  <c r="I29" i="85"/>
  <c r="H29" i="85"/>
  <c r="G29" i="85"/>
  <c r="F29" i="85"/>
  <c r="E29" i="85"/>
  <c r="D29" i="85"/>
  <c r="C29" i="85"/>
  <c r="A16" i="85"/>
  <c r="A14" i="85"/>
  <c r="A17" i="132" l="1"/>
  <c r="A13" i="132"/>
  <c r="A13" i="94"/>
  <c r="A17" i="91"/>
  <c r="A17" i="115"/>
  <c r="A13" i="115"/>
  <c r="A17" i="114"/>
  <c r="A13" i="114"/>
  <c r="A17" i="113"/>
  <c r="A13" i="113"/>
  <c r="A17" i="112"/>
  <c r="A13" i="112"/>
  <c r="A17" i="111"/>
  <c r="A13" i="111"/>
  <c r="A17" i="110"/>
  <c r="A13" i="110"/>
  <c r="A17" i="109"/>
  <c r="A13" i="109"/>
  <c r="A17" i="107"/>
  <c r="A13" i="107"/>
  <c r="A17" i="106"/>
  <c r="A13" i="106"/>
  <c r="A17" i="105"/>
  <c r="A13" i="105"/>
  <c r="A13" i="104"/>
  <c r="A17" i="104"/>
  <c r="A17" i="103"/>
  <c r="A13" i="103"/>
  <c r="A13" i="102"/>
  <c r="A17" i="102"/>
  <c r="A13" i="101"/>
  <c r="A17" i="101"/>
  <c r="A17" i="100"/>
  <c r="A13" i="100"/>
  <c r="A17" i="118"/>
  <c r="A13" i="118"/>
  <c r="A17" i="130"/>
  <c r="A13" i="130"/>
  <c r="A17" i="129"/>
  <c r="A13" i="129"/>
  <c r="A17" i="128"/>
  <c r="A13" i="128"/>
  <c r="A17" i="127"/>
  <c r="A13" i="127"/>
  <c r="A17" i="125"/>
  <c r="A13" i="125"/>
  <c r="A17" i="126"/>
  <c r="A13" i="126"/>
  <c r="A17" i="119"/>
  <c r="A13" i="119"/>
  <c r="A13" i="124"/>
  <c r="A17" i="123"/>
  <c r="A13" i="123"/>
  <c r="A17" i="122"/>
  <c r="A13" i="122"/>
  <c r="A17" i="116"/>
  <c r="A13" i="116"/>
  <c r="A17" i="117"/>
  <c r="A13" i="117"/>
  <c r="A17" i="121"/>
  <c r="A13" i="121"/>
  <c r="A17" i="120"/>
  <c r="A13" i="120"/>
  <c r="A17" i="99"/>
  <c r="A13" i="99"/>
  <c r="A17" i="98"/>
  <c r="A13" i="98"/>
  <c r="A17" i="97"/>
  <c r="A13" i="97"/>
  <c r="A17" i="96"/>
  <c r="A13" i="96"/>
  <c r="A13" i="95"/>
  <c r="A13" i="91"/>
  <c r="A17" i="94"/>
  <c r="A17" i="93"/>
  <c r="A13" i="93"/>
  <c r="A13" i="92"/>
  <c r="A17" i="92"/>
  <c r="A13" i="90"/>
  <c r="A17" i="90"/>
  <c r="A17" i="85"/>
  <c r="A13" i="85"/>
</calcChain>
</file>

<file path=xl/sharedStrings.xml><?xml version="1.0" encoding="utf-8"?>
<sst xmlns="http://schemas.openxmlformats.org/spreadsheetml/2006/main" count="995" uniqueCount="209">
  <si>
    <t>RATTATA</t>
  </si>
  <si>
    <t>SANDSHREW</t>
  </si>
  <si>
    <t>PIDGEY</t>
  </si>
  <si>
    <t>HOOTHOOT</t>
  </si>
  <si>
    <t>NIDORAN F</t>
  </si>
  <si>
    <t>NIDORAN M</t>
  </si>
  <si>
    <t>CATERPIE</t>
  </si>
  <si>
    <t>WEEDLE</t>
  </si>
  <si>
    <t>LEDYBA</t>
  </si>
  <si>
    <t>SPINARAK</t>
  </si>
  <si>
    <t>KAKUNA</t>
  </si>
  <si>
    <t>METAPOD</t>
  </si>
  <si>
    <t>ZUBAT</t>
  </si>
  <si>
    <t>GEODUDE</t>
  </si>
  <si>
    <t>PARAS</t>
  </si>
  <si>
    <t>ODDISH</t>
  </si>
  <si>
    <t>VENONAT</t>
  </si>
  <si>
    <t>SUNKERN</t>
  </si>
  <si>
    <t>PSYDUCK</t>
  </si>
  <si>
    <t>MACHOP</t>
  </si>
  <si>
    <t>ONIX</t>
  </si>
  <si>
    <t>WOOPER</t>
  </si>
  <si>
    <t>GASTLY</t>
  </si>
  <si>
    <t>MISDREAVUS</t>
  </si>
  <si>
    <t>RATICATE</t>
  </si>
  <si>
    <t>NATU</t>
  </si>
  <si>
    <t>KRABBY</t>
  </si>
  <si>
    <t>SHELLDER</t>
  </si>
  <si>
    <t>STARYU</t>
  </si>
  <si>
    <t>GOLBAT</t>
  </si>
  <si>
    <t>GOLDUCK</t>
  </si>
  <si>
    <t>KOFFING</t>
  </si>
  <si>
    <t>MAGMAR</t>
  </si>
  <si>
    <t>SLUGMA</t>
  </si>
  <si>
    <t>SMEARGLE</t>
  </si>
  <si>
    <t>MACHOKE</t>
  </si>
  <si>
    <t>POLIWHIRL</t>
  </si>
  <si>
    <t>POLIWAG</t>
  </si>
  <si>
    <t>GRAVELER</t>
  </si>
  <si>
    <t>SLOWPOKE</t>
  </si>
  <si>
    <t>MARILL</t>
  </si>
  <si>
    <t>DRATINI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</si>
  <si>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</si>
  <si>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</si>
  <si>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</si>
  <si>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</si>
  <si>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</si>
  <si>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</si>
  <si>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</si>
  <si>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</si>
  <si>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</si>
  <si>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</si>
  <si>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</si>
  <si>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</si>
  <si>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_OCEAN</t>
  </si>
  <si>
    <t>_DRATINI_NO_SWARM</t>
  </si>
  <si>
    <t>GYARADOS</t>
  </si>
  <si>
    <t>DRAGONAIR</t>
  </si>
  <si>
    <t>_GYARADOS</t>
  </si>
  <si>
    <t>CORSOLA</t>
  </si>
  <si>
    <t>MANTINE</t>
  </si>
  <si>
    <t>GEN2</t>
  </si>
  <si>
    <t>POKEMON</t>
  </si>
  <si>
    <t>UNOWN</t>
  </si>
  <si>
    <t>QUAGSIRE</t>
  </si>
  <si>
    <t>SWINUB</t>
  </si>
  <si>
    <t>DELIBIRD</t>
  </si>
  <si>
    <t>JYNX</t>
  </si>
  <si>
    <t>SNEASEL</t>
  </si>
  <si>
    <t>SEEL</t>
  </si>
  <si>
    <t>URSARING</t>
  </si>
  <si>
    <t>DONPHAN</t>
  </si>
  <si>
    <t>LARVITAR</t>
  </si>
  <si>
    <t>PARASECT</t>
  </si>
  <si>
    <t>PUPITAR</t>
  </si>
  <si>
    <t>TEDDIURSA</t>
  </si>
  <si>
    <t>WOBBUFFET</t>
  </si>
  <si>
    <t>SENTRET</t>
  </si>
  <si>
    <t>HOPPIP</t>
  </si>
  <si>
    <t>BELLSPROUT</t>
  </si>
  <si>
    <t>EKANS</t>
  </si>
  <si>
    <t>MAREEP</t>
  </si>
  <si>
    <t>SPEAROW</t>
  </si>
  <si>
    <t>SNUBBULL</t>
  </si>
  <si>
    <t>DROWZEE</t>
  </si>
  <si>
    <t>ABRA</t>
  </si>
  <si>
    <t>JIGGLYPUFF</t>
  </si>
  <si>
    <t>DITTO</t>
  </si>
  <si>
    <t>YANMA</t>
  </si>
  <si>
    <t>GROWLITHE</t>
  </si>
  <si>
    <t>VULPIX</t>
  </si>
  <si>
    <t>HOUNDOUR</t>
  </si>
  <si>
    <t>PIDGEOTTO</t>
  </si>
  <si>
    <t>LEDIAN</t>
  </si>
  <si>
    <t>NOCTOWL</t>
  </si>
  <si>
    <t>ARIADOS</t>
  </si>
  <si>
    <t>STANTLER</t>
  </si>
  <si>
    <t>MAGNEMITE</t>
  </si>
  <si>
    <t>TAUROS</t>
  </si>
  <si>
    <t>MILTANK</t>
  </si>
  <si>
    <t>MEOWTH</t>
  </si>
  <si>
    <t>MANKEY</t>
  </si>
  <si>
    <t>ARBOK</t>
  </si>
  <si>
    <t>FEAROW</t>
  </si>
  <si>
    <t>FLAAFY</t>
  </si>
  <si>
    <t>GIRAFARIG</t>
  </si>
  <si>
    <t>FARFETCHD</t>
  </si>
  <si>
    <t>FURRET</t>
  </si>
  <si>
    <t>TANGELA</t>
  </si>
  <si>
    <t>LICKITUNG</t>
  </si>
  <si>
    <t>WEEPINBELL</t>
  </si>
  <si>
    <t>GLIGAR</t>
  </si>
  <si>
    <t>SKARMORY</t>
  </si>
  <si>
    <t>MURKROW</t>
  </si>
  <si>
    <t>PHANPY</t>
  </si>
  <si>
    <t>rocksmash</t>
  </si>
  <si>
    <t>DUNSPARCE</t>
  </si>
  <si>
    <t>HAUNTER</t>
  </si>
  <si>
    <t>PONYTA</t>
  </si>
  <si>
    <t>RAPIDASH</t>
  </si>
  <si>
    <t>DODUO</t>
  </si>
  <si>
    <t>DODRIO</t>
  </si>
  <si>
    <t>SWARMS</t>
  </si>
  <si>
    <t>ALT_SWARMS</t>
  </si>
  <si>
    <t>; Johto Pokémon in water</t>
  </si>
  <si>
    <t>def_water_wildmons ROUTE_27_WEST</t>
  </si>
  <si>
    <t>def_water_wildmons ROUTE_30</t>
  </si>
  <si>
    <t>def_water_wildmons ROUTE_31</t>
  </si>
  <si>
    <t>def_water_wildmons ROUTE_32</t>
  </si>
  <si>
    <t>def_water_wildmons ROUTE_34</t>
  </si>
  <si>
    <t>def_water_wildmons ROUTE_35</t>
  </si>
  <si>
    <t>def_water_wildmons ROUTE_40</t>
  </si>
  <si>
    <t>def_water_wildmons ROUTE_41</t>
  </si>
  <si>
    <t>def_water_wildmons ROUTE_42</t>
  </si>
  <si>
    <t>def_water_wildmons ROUTE_43</t>
  </si>
  <si>
    <t>def_water_wildmons ROUTE_44</t>
  </si>
  <si>
    <t>def_water_wildmons ROUTE_45</t>
  </si>
  <si>
    <t>def_water_wildmons NEW_BARK_TOWN</t>
  </si>
  <si>
    <t>def_water_wildmons CHERRYGROVE_CITY</t>
  </si>
  <si>
    <t>def_water_wildmons DARK_CAVE_VIOLET_ENTRANCE</t>
  </si>
  <si>
    <t>def_water_wildmons VIOLET_CITY</t>
  </si>
  <si>
    <t>def_water_wildmons RUINS_OF_ALPH_OUTSIDE</t>
  </si>
  <si>
    <t>def_water_wildmons UNION_CAVE_1F</t>
  </si>
  <si>
    <t>def_water_wildmons UNION_CAVE_B1F</t>
  </si>
  <si>
    <t>def_water_wildmons UNION_CAVE_B2F</t>
  </si>
  <si>
    <t>def_water_wildmons SLOWPOKE_WELL_B1F</t>
  </si>
  <si>
    <t>def_water_wildmons SLOWPOKE_WELL_B2F</t>
  </si>
  <si>
    <t>def_water_wildmons ILEX_FOREST</t>
  </si>
  <si>
    <t>def_water_wildmons ECRUTEAK_CITY</t>
  </si>
  <si>
    <t>def_water_wildmons OLIVINE_CITY</t>
  </si>
  <si>
    <t>def_water_wildmons OLIVINE_PORT</t>
  </si>
  <si>
    <t>def_water_wildmons WHIRL_ISLAND_CAVES</t>
  </si>
  <si>
    <t>def_water_wildmons WHIRL_ISLAND_SW</t>
  </si>
  <si>
    <t>def_water_wildmons WHIRL_ISLAND_B1F_B2F</t>
  </si>
  <si>
    <t>def_water_wildmons WHIRL_ISLAND_B2F</t>
  </si>
  <si>
    <t>def_water_wildmons WHIRL_ISLAND_LUGIA_CHAMBER</t>
  </si>
  <si>
    <t>def_water_wildmons CIANWOOD_CITY</t>
  </si>
  <si>
    <t>def_water_wildmons MOUNT_MORTAR_1F_OUTSIDE</t>
  </si>
  <si>
    <t>def_water_wildmons MOUNT_MORTAR_2F_INSIDE</t>
  </si>
  <si>
    <t>def_water_wildmons MOUNT_MORTAR_B1F</t>
  </si>
  <si>
    <t>def_water_wildmons LAKE_OF_RAGE</t>
  </si>
  <si>
    <t>def_water_wildmons BLACKTHORN_CITY</t>
  </si>
  <si>
    <t>def_water_wildmons DRAGONS_DEN_B1F</t>
  </si>
  <si>
    <t>def_water_wildmons DARK_CAVE_BLACKTHORN_ENTRANCE</t>
  </si>
  <si>
    <t>def_water_wildmons SILVER_CAVE_OUTSIDE</t>
  </si>
  <si>
    <t>def_water_wildmons SILVER_CAVE_ROOM_2</t>
  </si>
  <si>
    <t>TENTACRUEL</t>
  </si>
  <si>
    <t>MAGIKARP   ; 10</t>
  </si>
  <si>
    <t>SEADRA</t>
  </si>
  <si>
    <t>POLIWHRIL</t>
  </si>
  <si>
    <t>POLIWAAIL</t>
  </si>
  <si>
    <t>MAGIKAPIG</t>
  </si>
  <si>
    <t>const FISHGROUP_NONE</t>
  </si>
  <si>
    <t>const FISHGROUP_SHORE</t>
  </si>
  <si>
    <t>const FISHGROUP_OCEAN</t>
  </si>
  <si>
    <t>const FISHGROUP_LAKE</t>
  </si>
  <si>
    <t>const FISHGROUP_POND</t>
  </si>
  <si>
    <t>const FISHGROUP_DRATINI</t>
  </si>
  <si>
    <t>const FISHGROUP_GYARADOS</t>
  </si>
  <si>
    <t>const FISHGROUP_DRATINI_NO_SWARM</t>
  </si>
  <si>
    <t>const FISHGROUP_WHIRL_ISLANDS</t>
  </si>
  <si>
    <t>const FISHGROUP_QWILFISH</t>
  </si>
  <si>
    <t>const FISHGROUP_REMORAID</t>
  </si>
  <si>
    <t>const FISHGROUP_QWILFISH_NO_SWARM</t>
  </si>
  <si>
    <t>const FISHGROUP_CHINCHOU</t>
  </si>
  <si>
    <t>const FISHGROUP_HORSEA</t>
  </si>
  <si>
    <t>const FISHGROUP_STARYU</t>
  </si>
  <si>
    <t>const FISHGROUP_SHELLDER</t>
  </si>
  <si>
    <t>REMORAID</t>
  </si>
  <si>
    <t>CORSOLA / STARYU</t>
  </si>
  <si>
    <t>QWILFISH</t>
  </si>
  <si>
    <t>KINGLER</t>
  </si>
  <si>
    <t>_QWILFISH</t>
  </si>
  <si>
    <t>_REMORAID</t>
  </si>
  <si>
    <t>_WHIRL_ISLANDS</t>
  </si>
  <si>
    <t>_DRATINI</t>
  </si>
  <si>
    <t>def_water_wildmons DARK_CAVE_BLACKTHORN_E</t>
  </si>
  <si>
    <t>FISHSWARMS</t>
  </si>
  <si>
    <t>lickitung</t>
  </si>
  <si>
    <t>same</t>
  </si>
  <si>
    <t>mareep</t>
  </si>
  <si>
    <t>_CHINCHOU</t>
  </si>
  <si>
    <t>_QWILFISH_SWARM</t>
  </si>
  <si>
    <t>_REMORAID_SWARM</t>
  </si>
  <si>
    <t>ALT_FISHSWARMS</t>
  </si>
  <si>
    <t>_CORSOLA_SWARM</t>
  </si>
  <si>
    <t>_CHINCHOU_SWARM</t>
  </si>
  <si>
    <t>_DRATINI_SWARM</t>
  </si>
  <si>
    <t>unused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</si>
</sst>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7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6" borderId="2" xfId="0" applyFill="1" applyBorder="1"/>
    <xf numFmtId="0" fontId="0" fillId="5" borderId="2" xfId="0" applyFill="1" applyBorder="1"/>
    <xf numFmtId="0" fontId="0" fillId="8" borderId="2" xfId="0" applyFill="1" applyBorder="1"/>
    <xf numFmtId="0" fontId="6" fillId="4" borderId="2" xfId="0" applyFont="1" applyFill="1" applyBorder="1"/>
    <xf numFmtId="0" fontId="5" fillId="6" borderId="2" xfId="0" applyFont="1" applyFill="1" applyBorder="1"/>
    <xf numFmtId="0" fontId="0" fillId="9" borderId="2" xfId="0" applyFill="1" applyBorder="1"/>
    <xf numFmtId="0" fontId="6" fillId="3" borderId="2" xfId="0" applyFont="1" applyFill="1" applyBorder="1"/>
    <xf numFmtId="0" fontId="0" fillId="10" borderId="2" xfId="0" applyFill="1" applyBorder="1"/>
    <xf numFmtId="0" fontId="0" fillId="11" borderId="2" xfId="0" applyFill="1" applyBorder="1"/>
    <xf numFmtId="0" fontId="0" fillId="12" borderId="2" xfId="0" applyFill="1" applyBorder="1"/>
    <xf numFmtId="0" fontId="0" fillId="0" borderId="2" xfId="0" applyFill="1" applyBorder="1"/>
  </cellXfs>
  <cellStyles count="2">
    <cellStyle name="Normal" xfId="0" builtinId="0"/>
    <cellStyle name="Normal 2" xfId="1" xr:uid="{F196C564-2C88-4BED-88CA-3DF8249174BB}"/>
  </cellStyles>
  <dxfs count="111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7830-54A0-4602-8FE2-67F91FBD3F33}">
  <dimension ref="A1:P29"/>
  <sheetViews>
    <sheetView workbookViewId="0">
      <selection activeCell="H15" sqref="H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50</v>
      </c>
      <c r="D13" s="6">
        <f t="shared" si="1"/>
        <v>0</v>
      </c>
      <c r="E13" s="6">
        <f t="shared" si="1"/>
        <v>40</v>
      </c>
      <c r="F13" s="6">
        <f t="shared" si="1"/>
        <v>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2</v>
      </c>
      <c r="D15" s="4" t="s">
        <v>3</v>
      </c>
      <c r="E15" s="4" t="s">
        <v>77</v>
      </c>
      <c r="F15" s="4" t="s">
        <v>0</v>
      </c>
      <c r="G15" s="4" t="s">
        <v>78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55</v>
      </c>
      <c r="E16" s="12">
        <v>0</v>
      </c>
      <c r="F16" s="12">
        <v>45</v>
      </c>
      <c r="G16" s="12">
        <v>0</v>
      </c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>SUM(D19:D28)</f>
        <v>55</v>
      </c>
      <c r="E17" s="13">
        <f t="shared" si="2"/>
        <v>0</v>
      </c>
      <c r="F17" s="13">
        <f>SUM(F19:F28)</f>
        <v>45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15</v>
      </c>
      <c r="B21" s="2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SUM(F22:N22)</f>
        <v>10</v>
      </c>
      <c r="B22" s="2"/>
      <c r="F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ref="A23:A28" si="3">SUM(C23:N23)</f>
        <v>10</v>
      </c>
      <c r="B23" s="2"/>
      <c r="F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117" priority="23"/>
  </conditionalFormatting>
  <conditionalFormatting sqref="A3 P3">
    <cfRule type="duplicateValues" dxfId="1116" priority="22"/>
  </conditionalFormatting>
  <conditionalFormatting sqref="A4 P4">
    <cfRule type="duplicateValues" dxfId="1115" priority="21"/>
  </conditionalFormatting>
  <conditionalFormatting sqref="A5 P5">
    <cfRule type="duplicateValues" dxfId="1114" priority="20"/>
  </conditionalFormatting>
  <conditionalFormatting sqref="A6 P6">
    <cfRule type="duplicateValues" dxfId="1113" priority="19"/>
  </conditionalFormatting>
  <conditionalFormatting sqref="A7 P7">
    <cfRule type="duplicateValues" dxfId="1112" priority="18"/>
  </conditionalFormatting>
  <conditionalFormatting sqref="A8 P8">
    <cfRule type="duplicateValues" dxfId="1111" priority="17"/>
  </conditionalFormatting>
  <conditionalFormatting sqref="A9 P9">
    <cfRule type="duplicateValues" dxfId="1110" priority="16"/>
  </conditionalFormatting>
  <conditionalFormatting sqref="A10 P10">
    <cfRule type="duplicateValues" dxfId="1109" priority="15"/>
  </conditionalFormatting>
  <conditionalFormatting sqref="A11 P11">
    <cfRule type="duplicateValues" dxfId="1108" priority="14"/>
  </conditionalFormatting>
  <conditionalFormatting sqref="A13:A14">
    <cfRule type="cellIs" dxfId="1107" priority="27" operator="notEqual">
      <formula>100</formula>
    </cfRule>
  </conditionalFormatting>
  <conditionalFormatting sqref="A16:A17">
    <cfRule type="cellIs" dxfId="1106" priority="25" operator="notEqual">
      <formula>100</formula>
    </cfRule>
  </conditionalFormatting>
  <conditionalFormatting sqref="A19 P19">
    <cfRule type="duplicateValues" dxfId="1105" priority="12"/>
  </conditionalFormatting>
  <conditionalFormatting sqref="A20 P20">
    <cfRule type="duplicateValues" dxfId="1104" priority="11"/>
  </conditionalFormatting>
  <conditionalFormatting sqref="A21 P21">
    <cfRule type="duplicateValues" dxfId="1103" priority="10"/>
  </conditionalFormatting>
  <conditionalFormatting sqref="A22 P22">
    <cfRule type="duplicateValues" dxfId="1102" priority="9"/>
  </conditionalFormatting>
  <conditionalFormatting sqref="A23 P23">
    <cfRule type="duplicateValues" dxfId="1101" priority="8"/>
  </conditionalFormatting>
  <conditionalFormatting sqref="A24 P24">
    <cfRule type="duplicateValues" dxfId="1100" priority="7"/>
  </conditionalFormatting>
  <conditionalFormatting sqref="A25 P25">
    <cfRule type="duplicateValues" dxfId="1099" priority="6"/>
  </conditionalFormatting>
  <conditionalFormatting sqref="A26 P26">
    <cfRule type="duplicateValues" dxfId="1098" priority="5"/>
  </conditionalFormatting>
  <conditionalFormatting sqref="A27 P27">
    <cfRule type="duplicateValues" dxfId="1097" priority="4"/>
  </conditionalFormatting>
  <conditionalFormatting sqref="A28 P28">
    <cfRule type="duplicateValues" dxfId="1096" priority="3"/>
  </conditionalFormatting>
  <conditionalFormatting sqref="C13:N13">
    <cfRule type="cellIs" dxfId="1095" priority="2" operator="equal">
      <formula>0</formula>
    </cfRule>
  </conditionalFormatting>
  <conditionalFormatting sqref="C17:N17">
    <cfRule type="cellIs" dxfId="1094" priority="1" operator="equal">
      <formula>0</formula>
    </cfRule>
  </conditionalFormatting>
  <conditionalFormatting sqref="P2 A2:A11">
    <cfRule type="duplicateValues" dxfId="1093" priority="24"/>
  </conditionalFormatting>
  <conditionalFormatting sqref="P19 A19:A28">
    <cfRule type="duplicateValues" dxfId="1092" priority="1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P29"/>
  <sheetViews>
    <sheetView workbookViewId="0">
      <selection activeCell="L15" sqref="L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SUM(D3:N3)</f>
        <v>0</v>
      </c>
      <c r="B3" s="2"/>
      <c r="C3" s="1">
        <v>20</v>
      </c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E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G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5</v>
      </c>
      <c r="B9" s="2"/>
      <c r="D9" s="3"/>
      <c r="E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0</v>
      </c>
      <c r="E13" s="6">
        <f t="shared" si="1"/>
        <v>25</v>
      </c>
      <c r="F13" s="6">
        <f t="shared" si="1"/>
        <v>20</v>
      </c>
      <c r="G13" s="6">
        <f t="shared" si="1"/>
        <v>10</v>
      </c>
      <c r="H13" s="6">
        <f t="shared" si="1"/>
        <v>0</v>
      </c>
      <c r="I13" s="6">
        <f t="shared" si="1"/>
        <v>0</v>
      </c>
      <c r="J13" s="6">
        <f>SUM(J2:J11)</f>
        <v>5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130</v>
      </c>
      <c r="B14" s="9"/>
      <c r="C14" s="10">
        <v>40</v>
      </c>
      <c r="D14" s="10">
        <v>0</v>
      </c>
      <c r="E14" s="10">
        <v>30</v>
      </c>
      <c r="F14" s="10">
        <v>50</v>
      </c>
      <c r="G14" s="10">
        <v>5</v>
      </c>
      <c r="H14" s="10">
        <v>0</v>
      </c>
      <c r="I14" s="10">
        <v>0</v>
      </c>
      <c r="J14" s="10">
        <v>5</v>
      </c>
      <c r="K14" s="10">
        <v>0</v>
      </c>
      <c r="L14" s="10"/>
      <c r="M14" s="10"/>
      <c r="N14" s="10"/>
    </row>
    <row r="15" spans="1:16" ht="20.25" customHeight="1" x14ac:dyDescent="0.25">
      <c r="A15" s="1"/>
      <c r="B15" s="2"/>
      <c r="C15" s="4" t="s">
        <v>2</v>
      </c>
      <c r="D15" s="4" t="s">
        <v>3</v>
      </c>
      <c r="E15" s="4" t="s">
        <v>8</v>
      </c>
      <c r="F15" s="4" t="s">
        <v>6</v>
      </c>
      <c r="G15" s="4" t="s">
        <v>7</v>
      </c>
      <c r="H15" s="4" t="s">
        <v>9</v>
      </c>
      <c r="I15" s="4" t="s">
        <v>37</v>
      </c>
      <c r="J15" s="4" t="s">
        <v>78</v>
      </c>
      <c r="K15" s="4" t="s">
        <v>12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45</v>
      </c>
      <c r="E16" s="12">
        <v>0</v>
      </c>
      <c r="F16" s="12">
        <v>0</v>
      </c>
      <c r="G16" s="12">
        <v>0</v>
      </c>
      <c r="H16" s="12">
        <v>30</v>
      </c>
      <c r="I16" s="12">
        <v>20</v>
      </c>
      <c r="J16" s="15">
        <v>0</v>
      </c>
      <c r="K16" s="12">
        <v>5</v>
      </c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>SUM(D19:D28)</f>
        <v>45</v>
      </c>
      <c r="E17" s="13">
        <f t="shared" si="2"/>
        <v>0</v>
      </c>
      <c r="F17" s="13">
        <f t="shared" si="2"/>
        <v>0</v>
      </c>
      <c r="G17" s="13">
        <f t="shared" si="2"/>
        <v>0</v>
      </c>
      <c r="H17" s="13">
        <f t="shared" si="2"/>
        <v>30</v>
      </c>
      <c r="I17" s="13">
        <f t="shared" si="2"/>
        <v>20</v>
      </c>
      <c r="J17" s="13">
        <f t="shared" si="2"/>
        <v>0</v>
      </c>
      <c r="K17" s="13">
        <f>SUM(K19:K28)</f>
        <v>5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H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H23" s="3"/>
      <c r="I23" s="1">
        <v>10</v>
      </c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>
        <v>10</v>
      </c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K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K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91" priority="23"/>
  </conditionalFormatting>
  <conditionalFormatting sqref="A3 P3">
    <cfRule type="duplicateValues" dxfId="1090" priority="22"/>
  </conditionalFormatting>
  <conditionalFormatting sqref="A4 P4">
    <cfRule type="duplicateValues" dxfId="1089" priority="21"/>
  </conditionalFormatting>
  <conditionalFormatting sqref="A5 P5">
    <cfRule type="duplicateValues" dxfId="1088" priority="20"/>
  </conditionalFormatting>
  <conditionalFormatting sqref="A6 P6">
    <cfRule type="duplicateValues" dxfId="1087" priority="19"/>
  </conditionalFormatting>
  <conditionalFormatting sqref="A7 P7">
    <cfRule type="duplicateValues" dxfId="1086" priority="18"/>
  </conditionalFormatting>
  <conditionalFormatting sqref="A8 P8">
    <cfRule type="duplicateValues" dxfId="1085" priority="17"/>
  </conditionalFormatting>
  <conditionalFormatting sqref="A9 P9">
    <cfRule type="duplicateValues" dxfId="1084" priority="16"/>
  </conditionalFormatting>
  <conditionalFormatting sqref="A10 P10">
    <cfRule type="duplicateValues" dxfId="1083" priority="15"/>
  </conditionalFormatting>
  <conditionalFormatting sqref="A11 P11">
    <cfRule type="duplicateValues" dxfId="1082" priority="14"/>
  </conditionalFormatting>
  <conditionalFormatting sqref="A13:A14">
    <cfRule type="cellIs" dxfId="1081" priority="27" operator="notEqual">
      <formula>100</formula>
    </cfRule>
  </conditionalFormatting>
  <conditionalFormatting sqref="A16:A17">
    <cfRule type="cellIs" dxfId="1080" priority="25" operator="notEqual">
      <formula>100</formula>
    </cfRule>
  </conditionalFormatting>
  <conditionalFormatting sqref="A19 P19">
    <cfRule type="duplicateValues" dxfId="1079" priority="12"/>
  </conditionalFormatting>
  <conditionalFormatting sqref="A20 P20">
    <cfRule type="duplicateValues" dxfId="1078" priority="11"/>
  </conditionalFormatting>
  <conditionalFormatting sqref="A21 P21">
    <cfRule type="duplicateValues" dxfId="1077" priority="10"/>
  </conditionalFormatting>
  <conditionalFormatting sqref="A22 P22">
    <cfRule type="duplicateValues" dxfId="1076" priority="9"/>
  </conditionalFormatting>
  <conditionalFormatting sqref="A23 P23">
    <cfRule type="duplicateValues" dxfId="1075" priority="8"/>
  </conditionalFormatting>
  <conditionalFormatting sqref="A24 P24">
    <cfRule type="duplicateValues" dxfId="1074" priority="7"/>
  </conditionalFormatting>
  <conditionalFormatting sqref="A25 P25">
    <cfRule type="duplicateValues" dxfId="1073" priority="6"/>
  </conditionalFormatting>
  <conditionalFormatting sqref="A26 P26">
    <cfRule type="duplicateValues" dxfId="1072" priority="5"/>
  </conditionalFormatting>
  <conditionalFormatting sqref="A27 P27">
    <cfRule type="duplicateValues" dxfId="1071" priority="4"/>
  </conditionalFormatting>
  <conditionalFormatting sqref="A28 P28">
    <cfRule type="duplicateValues" dxfId="1070" priority="3"/>
  </conditionalFormatting>
  <conditionalFormatting sqref="C13:N13">
    <cfRule type="cellIs" dxfId="1069" priority="2" operator="equal">
      <formula>0</formula>
    </cfRule>
  </conditionalFormatting>
  <conditionalFormatting sqref="C17:N17">
    <cfRule type="cellIs" dxfId="1068" priority="1" operator="equal">
      <formula>0</formula>
    </cfRule>
  </conditionalFormatting>
  <conditionalFormatting sqref="P2 A2:A11">
    <cfRule type="duplicateValues" dxfId="1067" priority="24"/>
  </conditionalFormatting>
  <conditionalFormatting sqref="P19 A19:A28">
    <cfRule type="duplicateValues" dxfId="1066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B42-26B4-4DC0-A403-AC54C8C1C4E7}">
  <dimension ref="A1:P29"/>
  <sheetViews>
    <sheetView workbookViewId="0">
      <selection activeCell="N15" sqref="N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3"/>
      <c r="I7" s="1">
        <v>10</v>
      </c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I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3"/>
      <c r="K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0</v>
      </c>
      <c r="I13" s="6">
        <f t="shared" si="1"/>
        <v>20</v>
      </c>
      <c r="J13" s="6">
        <f t="shared" si="1"/>
        <v>0</v>
      </c>
      <c r="K13" s="6">
        <f>SUM(K2:K11)</f>
        <v>5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130</v>
      </c>
      <c r="B14" s="9"/>
      <c r="C14" s="10">
        <v>40</v>
      </c>
      <c r="D14" s="10">
        <v>0</v>
      </c>
      <c r="E14" s="10">
        <v>30</v>
      </c>
      <c r="F14" s="10">
        <v>30</v>
      </c>
      <c r="G14" s="10">
        <v>5</v>
      </c>
      <c r="H14" s="10">
        <v>0</v>
      </c>
      <c r="I14" s="10">
        <v>20</v>
      </c>
      <c r="J14" s="10">
        <v>5</v>
      </c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2</v>
      </c>
      <c r="D15" s="4" t="s">
        <v>3</v>
      </c>
      <c r="E15" s="4" t="s">
        <v>8</v>
      </c>
      <c r="F15" s="4" t="s">
        <v>6</v>
      </c>
      <c r="G15" s="4" t="s">
        <v>7</v>
      </c>
      <c r="H15" s="4" t="s">
        <v>9</v>
      </c>
      <c r="I15" s="4" t="s">
        <v>79</v>
      </c>
      <c r="J15" s="4" t="s">
        <v>78</v>
      </c>
      <c r="K15" s="4" t="s">
        <v>37</v>
      </c>
      <c r="L15" s="4" t="s">
        <v>12</v>
      </c>
      <c r="M15" s="4" t="s">
        <v>22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10</v>
      </c>
      <c r="E16" s="12">
        <v>0</v>
      </c>
      <c r="F16" s="12">
        <v>0</v>
      </c>
      <c r="G16" s="12">
        <v>0</v>
      </c>
      <c r="H16" s="12">
        <v>30</v>
      </c>
      <c r="I16" s="12">
        <v>20</v>
      </c>
      <c r="J16" s="15">
        <v>0</v>
      </c>
      <c r="K16" s="12">
        <v>30</v>
      </c>
      <c r="L16" s="12">
        <v>5</v>
      </c>
      <c r="M16" s="15">
        <v>5</v>
      </c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10</v>
      </c>
      <c r="E17" s="13">
        <f t="shared" si="2"/>
        <v>0</v>
      </c>
      <c r="F17" s="13">
        <f t="shared" si="2"/>
        <v>0</v>
      </c>
      <c r="G17" s="13">
        <f t="shared" si="2"/>
        <v>0</v>
      </c>
      <c r="H17" s="13">
        <f>SUM(H19:H28)</f>
        <v>30</v>
      </c>
      <c r="I17" s="13">
        <f t="shared" si="2"/>
        <v>20</v>
      </c>
      <c r="J17" s="13">
        <f t="shared" si="2"/>
        <v>0</v>
      </c>
      <c r="K17" s="13">
        <f t="shared" si="2"/>
        <v>30</v>
      </c>
      <c r="L17" s="13">
        <f t="shared" si="2"/>
        <v>5</v>
      </c>
      <c r="M17" s="13">
        <f>SUM(M19:M28)</f>
        <v>5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/>
      <c r="G19" s="3"/>
      <c r="H19" s="3">
        <v>20</v>
      </c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E20" s="3"/>
      <c r="F20" s="3"/>
      <c r="G20" s="3"/>
      <c r="H20" s="3"/>
      <c r="J20" s="3"/>
      <c r="K20" s="1">
        <v>20</v>
      </c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3"/>
      <c r="I21" s="1">
        <v>15</v>
      </c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H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/>
      <c r="J24" s="1"/>
      <c r="K24" s="1">
        <v>10</v>
      </c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I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K26" s="3"/>
      <c r="L26" s="1">
        <v>5</v>
      </c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M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M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65" priority="23"/>
  </conditionalFormatting>
  <conditionalFormatting sqref="A3 P3">
    <cfRule type="duplicateValues" dxfId="1064" priority="22"/>
  </conditionalFormatting>
  <conditionalFormatting sqref="A4 P4">
    <cfRule type="duplicateValues" dxfId="1063" priority="21"/>
  </conditionalFormatting>
  <conditionalFormatting sqref="A5 P5">
    <cfRule type="duplicateValues" dxfId="1062" priority="20"/>
  </conditionalFormatting>
  <conditionalFormatting sqref="A6 P6">
    <cfRule type="duplicateValues" dxfId="1061" priority="19"/>
  </conditionalFormatting>
  <conditionalFormatting sqref="A7 P7">
    <cfRule type="duplicateValues" dxfId="1060" priority="18"/>
  </conditionalFormatting>
  <conditionalFormatting sqref="A8 P8">
    <cfRule type="duplicateValues" dxfId="1059" priority="17"/>
  </conditionalFormatting>
  <conditionalFormatting sqref="A9 P9">
    <cfRule type="duplicateValues" dxfId="1058" priority="16"/>
  </conditionalFormatting>
  <conditionalFormatting sqref="A10 P10">
    <cfRule type="duplicateValues" dxfId="1057" priority="15"/>
  </conditionalFormatting>
  <conditionalFormatting sqref="A11 P11">
    <cfRule type="duplicateValues" dxfId="1056" priority="14"/>
  </conditionalFormatting>
  <conditionalFormatting sqref="A13:A14">
    <cfRule type="cellIs" dxfId="1055" priority="27" operator="notEqual">
      <formula>100</formula>
    </cfRule>
  </conditionalFormatting>
  <conditionalFormatting sqref="A16:A17">
    <cfRule type="cellIs" dxfId="1054" priority="25" operator="notEqual">
      <formula>100</formula>
    </cfRule>
  </conditionalFormatting>
  <conditionalFormatting sqref="A19 P19">
    <cfRule type="duplicateValues" dxfId="1053" priority="12"/>
  </conditionalFormatting>
  <conditionalFormatting sqref="A20 P20">
    <cfRule type="duplicateValues" dxfId="1052" priority="11"/>
  </conditionalFormatting>
  <conditionalFormatting sqref="A21 P21">
    <cfRule type="duplicateValues" dxfId="1051" priority="10"/>
  </conditionalFormatting>
  <conditionalFormatting sqref="A22 P22">
    <cfRule type="duplicateValues" dxfId="1050" priority="9"/>
  </conditionalFormatting>
  <conditionalFormatting sqref="A23 P23">
    <cfRule type="duplicateValues" dxfId="1049" priority="8"/>
  </conditionalFormatting>
  <conditionalFormatting sqref="A24 P24">
    <cfRule type="duplicateValues" dxfId="1048" priority="7"/>
  </conditionalFormatting>
  <conditionalFormatting sqref="A25 P25">
    <cfRule type="duplicateValues" dxfId="1047" priority="6"/>
  </conditionalFormatting>
  <conditionalFormatting sqref="A26 P26">
    <cfRule type="duplicateValues" dxfId="1046" priority="5"/>
  </conditionalFormatting>
  <conditionalFormatting sqref="A27 P27">
    <cfRule type="duplicateValues" dxfId="1045" priority="4"/>
  </conditionalFormatting>
  <conditionalFormatting sqref="A28 P28">
    <cfRule type="duplicateValues" dxfId="1044" priority="3"/>
  </conditionalFormatting>
  <conditionalFormatting sqref="C13:N13">
    <cfRule type="cellIs" dxfId="1043" priority="2" operator="equal">
      <formula>0</formula>
    </cfRule>
  </conditionalFormatting>
  <conditionalFormatting sqref="C17:N17">
    <cfRule type="cellIs" dxfId="1042" priority="1" operator="equal">
      <formula>0</formula>
    </cfRule>
  </conditionalFormatting>
  <conditionalFormatting sqref="P2 A2:A11">
    <cfRule type="duplicateValues" dxfId="1041" priority="24"/>
  </conditionalFormatting>
  <conditionalFormatting sqref="P19 A19:A28">
    <cfRule type="duplicateValues" dxfId="1040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B96BD-76D1-4B4C-BBCA-96A8B45C93B8}">
  <dimension ref="A1:P29"/>
  <sheetViews>
    <sheetView workbookViewId="0">
      <selection activeCell="L15" sqref="L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H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0</v>
      </c>
      <c r="G13" s="6">
        <f t="shared" si="1"/>
        <v>10</v>
      </c>
      <c r="H13" s="6">
        <f t="shared" si="1"/>
        <v>5</v>
      </c>
      <c r="I13" s="6">
        <f>SUM(I2:I11)</f>
        <v>5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0</v>
      </c>
      <c r="G14" s="10">
        <v>10</v>
      </c>
      <c r="H14" s="10">
        <v>5</v>
      </c>
      <c r="I14" s="10">
        <v>5</v>
      </c>
      <c r="J14" s="10">
        <v>0</v>
      </c>
      <c r="K14" s="10">
        <v>0</v>
      </c>
      <c r="L14" s="10"/>
      <c r="M14" s="10"/>
      <c r="N14" s="10"/>
    </row>
    <row r="15" spans="1:16" ht="20.25" customHeight="1" x14ac:dyDescent="0.25">
      <c r="A15" s="1"/>
      <c r="B15" s="2"/>
      <c r="C15" s="4" t="s">
        <v>80</v>
      </c>
      <c r="D15" s="4" t="s">
        <v>79</v>
      </c>
      <c r="E15" s="4" t="s">
        <v>81</v>
      </c>
      <c r="F15" s="4" t="s">
        <v>21</v>
      </c>
      <c r="G15" s="4" t="s">
        <v>78</v>
      </c>
      <c r="H15" s="4" t="s">
        <v>2</v>
      </c>
      <c r="I15" s="4" t="s">
        <v>0</v>
      </c>
      <c r="J15" s="4" t="s">
        <v>3</v>
      </c>
      <c r="K15" s="4" t="s">
        <v>22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20</v>
      </c>
      <c r="E16" s="12">
        <v>10</v>
      </c>
      <c r="F16" s="12">
        <v>30</v>
      </c>
      <c r="G16" s="12">
        <v>0</v>
      </c>
      <c r="H16" s="12">
        <v>0</v>
      </c>
      <c r="I16" s="12">
        <v>0</v>
      </c>
      <c r="J16" s="15">
        <v>5</v>
      </c>
      <c r="K16" s="12">
        <v>5</v>
      </c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20</v>
      </c>
      <c r="E17" s="13">
        <f t="shared" si="2"/>
        <v>10</v>
      </c>
      <c r="F17" s="13">
        <f t="shared" si="2"/>
        <v>30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5</v>
      </c>
      <c r="K17" s="13">
        <f>SUM(K19:K28)</f>
        <v>5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F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SUM(C22:N22)</f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E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J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K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K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39" priority="23"/>
  </conditionalFormatting>
  <conditionalFormatting sqref="A3 P3">
    <cfRule type="duplicateValues" dxfId="1038" priority="22"/>
  </conditionalFormatting>
  <conditionalFormatting sqref="A4 P4">
    <cfRule type="duplicateValues" dxfId="1037" priority="21"/>
  </conditionalFormatting>
  <conditionalFormatting sqref="A5 P5">
    <cfRule type="duplicateValues" dxfId="1036" priority="20"/>
  </conditionalFormatting>
  <conditionalFormatting sqref="A6 P6">
    <cfRule type="duplicateValues" dxfId="1035" priority="19"/>
  </conditionalFormatting>
  <conditionalFormatting sqref="A7 P7">
    <cfRule type="duplicateValues" dxfId="1034" priority="18"/>
  </conditionalFormatting>
  <conditionalFormatting sqref="A8 P8">
    <cfRule type="duplicateValues" dxfId="1033" priority="17"/>
  </conditionalFormatting>
  <conditionalFormatting sqref="A9 P9">
    <cfRule type="duplicateValues" dxfId="1032" priority="16"/>
  </conditionalFormatting>
  <conditionalFormatting sqref="A10 P10">
    <cfRule type="duplicateValues" dxfId="1031" priority="15"/>
  </conditionalFormatting>
  <conditionalFormatting sqref="A11 P11">
    <cfRule type="duplicateValues" dxfId="1030" priority="14"/>
  </conditionalFormatting>
  <conditionalFormatting sqref="A13:A14">
    <cfRule type="cellIs" dxfId="1029" priority="27" operator="notEqual">
      <formula>100</formula>
    </cfRule>
  </conditionalFormatting>
  <conditionalFormatting sqref="A16:A17">
    <cfRule type="cellIs" dxfId="1028" priority="25" operator="notEqual">
      <formula>100</formula>
    </cfRule>
  </conditionalFormatting>
  <conditionalFormatting sqref="A19 P19">
    <cfRule type="duplicateValues" dxfId="1027" priority="12"/>
  </conditionalFormatting>
  <conditionalFormatting sqref="A20 P20">
    <cfRule type="duplicateValues" dxfId="1026" priority="11"/>
  </conditionalFormatting>
  <conditionalFormatting sqref="A21 P21">
    <cfRule type="duplicateValues" dxfId="1025" priority="10"/>
  </conditionalFormatting>
  <conditionalFormatting sqref="A22 P22">
    <cfRule type="duplicateValues" dxfId="1024" priority="9"/>
  </conditionalFormatting>
  <conditionalFormatting sqref="A23 P23">
    <cfRule type="duplicateValues" dxfId="1023" priority="8"/>
  </conditionalFormatting>
  <conditionalFormatting sqref="A24 P24">
    <cfRule type="duplicateValues" dxfId="1022" priority="7"/>
  </conditionalFormatting>
  <conditionalFormatting sqref="A25 P25">
    <cfRule type="duplicateValues" dxfId="1021" priority="6"/>
  </conditionalFormatting>
  <conditionalFormatting sqref="A26 P26">
    <cfRule type="duplicateValues" dxfId="1020" priority="5"/>
  </conditionalFormatting>
  <conditionalFormatting sqref="A27 P27">
    <cfRule type="duplicateValues" dxfId="1019" priority="4"/>
  </conditionalFormatting>
  <conditionalFormatting sqref="A28 P28">
    <cfRule type="duplicateValues" dxfId="1018" priority="3"/>
  </conditionalFormatting>
  <conditionalFormatting sqref="C13:N13">
    <cfRule type="cellIs" dxfId="1017" priority="2" operator="equal">
      <formula>0</formula>
    </cfRule>
  </conditionalFormatting>
  <conditionalFormatting sqref="C17:N17">
    <cfRule type="cellIs" dxfId="1016" priority="1" operator="equal">
      <formula>0</formula>
    </cfRule>
  </conditionalFormatting>
  <conditionalFormatting sqref="P2 A2:A11">
    <cfRule type="duplicateValues" dxfId="1015" priority="24"/>
  </conditionalFormatting>
  <conditionalFormatting sqref="P19 A19:A28">
    <cfRule type="duplicateValues" dxfId="1014" priority="1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570C2-E876-4546-869B-6B177B7FDE51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>
        <v>0</v>
      </c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82</v>
      </c>
      <c r="E15" s="4" t="s">
        <v>13</v>
      </c>
      <c r="F15" s="4" t="s">
        <v>78</v>
      </c>
      <c r="G15" s="4" t="s">
        <v>80</v>
      </c>
      <c r="H15" s="4" t="s">
        <v>12</v>
      </c>
    </row>
    <row r="16" spans="1:16" s="11" customFormat="1" ht="14.25" customHeight="1" x14ac:dyDescent="0.25">
      <c r="A16" s="14">
        <f>SUM(C16:N16)</f>
        <v>100</v>
      </c>
      <c r="B16" s="9"/>
      <c r="C16" s="12">
        <v>35</v>
      </c>
      <c r="D16" s="12">
        <v>0</v>
      </c>
      <c r="E16" s="12">
        <v>20</v>
      </c>
      <c r="F16" s="12">
        <v>0</v>
      </c>
      <c r="G16" s="12">
        <v>5</v>
      </c>
      <c r="H16" s="12">
        <v>40</v>
      </c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35</v>
      </c>
      <c r="D17" s="13">
        <f t="shared" si="2"/>
        <v>0</v>
      </c>
      <c r="E17" s="13">
        <f t="shared" si="2"/>
        <v>20</v>
      </c>
      <c r="F17" s="13">
        <f t="shared" si="2"/>
        <v>0</v>
      </c>
      <c r="G17" s="13">
        <f>SUM(G19:G28)</f>
        <v>5</v>
      </c>
      <c r="H17" s="13">
        <f t="shared" si="2"/>
        <v>40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F20" s="3"/>
      <c r="G20" s="3"/>
      <c r="H20" s="1">
        <v>20</v>
      </c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15</v>
      </c>
      <c r="B21" s="2"/>
      <c r="C21" s="1">
        <v>15</v>
      </c>
      <c r="D21" s="3"/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E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E23" s="1">
        <v>10</v>
      </c>
      <c r="F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H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H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G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G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13" priority="23"/>
  </conditionalFormatting>
  <conditionalFormatting sqref="A3 P3">
    <cfRule type="duplicateValues" dxfId="1012" priority="22"/>
  </conditionalFormatting>
  <conditionalFormatting sqref="A4 P4">
    <cfRule type="duplicateValues" dxfId="1011" priority="21"/>
  </conditionalFormatting>
  <conditionalFormatting sqref="A5 P5">
    <cfRule type="duplicateValues" dxfId="1010" priority="20"/>
  </conditionalFormatting>
  <conditionalFormatting sqref="A6 P6">
    <cfRule type="duplicateValues" dxfId="1009" priority="19"/>
  </conditionalFormatting>
  <conditionalFormatting sqref="A7 P7">
    <cfRule type="duplicateValues" dxfId="1008" priority="18"/>
  </conditionalFormatting>
  <conditionalFormatting sqref="A8 P8">
    <cfRule type="duplicateValues" dxfId="1007" priority="17"/>
  </conditionalFormatting>
  <conditionalFormatting sqref="A9 P9">
    <cfRule type="duplicateValues" dxfId="1006" priority="16"/>
  </conditionalFormatting>
  <conditionalFormatting sqref="A10 P10">
    <cfRule type="duplicateValues" dxfId="1005" priority="15"/>
  </conditionalFormatting>
  <conditionalFormatting sqref="A11 P11">
    <cfRule type="duplicateValues" dxfId="1004" priority="14"/>
  </conditionalFormatting>
  <conditionalFormatting sqref="A13:A14">
    <cfRule type="cellIs" dxfId="1003" priority="27" operator="notEqual">
      <formula>100</formula>
    </cfRule>
  </conditionalFormatting>
  <conditionalFormatting sqref="A16:A17">
    <cfRule type="cellIs" dxfId="1002" priority="25" operator="notEqual">
      <formula>100</formula>
    </cfRule>
  </conditionalFormatting>
  <conditionalFormatting sqref="A19 P19">
    <cfRule type="duplicateValues" dxfId="1001" priority="12"/>
  </conditionalFormatting>
  <conditionalFormatting sqref="A20 P20">
    <cfRule type="duplicateValues" dxfId="1000" priority="11"/>
  </conditionalFormatting>
  <conditionalFormatting sqref="A21 P21">
    <cfRule type="duplicateValues" dxfId="999" priority="10"/>
  </conditionalFormatting>
  <conditionalFormatting sqref="A22 P22">
    <cfRule type="duplicateValues" dxfId="998" priority="9"/>
  </conditionalFormatting>
  <conditionalFormatting sqref="A23 P23">
    <cfRule type="duplicateValues" dxfId="997" priority="8"/>
  </conditionalFormatting>
  <conditionalFormatting sqref="A24 P24">
    <cfRule type="duplicateValues" dxfId="996" priority="7"/>
  </conditionalFormatting>
  <conditionalFormatting sqref="A25 P25">
    <cfRule type="duplicateValues" dxfId="995" priority="6"/>
  </conditionalFormatting>
  <conditionalFormatting sqref="A26 P26">
    <cfRule type="duplicateValues" dxfId="994" priority="5"/>
  </conditionalFormatting>
  <conditionalFormatting sqref="A27 P27">
    <cfRule type="duplicateValues" dxfId="993" priority="4"/>
  </conditionalFormatting>
  <conditionalFormatting sqref="A28 P28">
    <cfRule type="duplicateValues" dxfId="992" priority="3"/>
  </conditionalFormatting>
  <conditionalFormatting sqref="C13:N13">
    <cfRule type="cellIs" dxfId="991" priority="2" operator="equal">
      <formula>0</formula>
    </cfRule>
  </conditionalFormatting>
  <conditionalFormatting sqref="C17:N17">
    <cfRule type="cellIs" dxfId="990" priority="1" operator="equal">
      <formula>0</formula>
    </cfRule>
  </conditionalFormatting>
  <conditionalFormatting sqref="P2 A2:A11">
    <cfRule type="duplicateValues" dxfId="989" priority="24"/>
  </conditionalFormatting>
  <conditionalFormatting sqref="P19 A19:A28">
    <cfRule type="duplicateValues" dxfId="988" priority="1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7957A-48F6-48AE-A8C8-418368BE37A7}">
  <dimension ref="A1:P29"/>
  <sheetViews>
    <sheetView workbookViewId="0">
      <selection activeCell="K15" sqref="K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E3" s="1">
        <v>20</v>
      </c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I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0</v>
      </c>
      <c r="E13" s="6">
        <f t="shared" si="1"/>
        <v>30</v>
      </c>
      <c r="F13" s="6">
        <f t="shared" si="1"/>
        <v>20</v>
      </c>
      <c r="G13" s="6">
        <f t="shared" si="1"/>
        <v>0</v>
      </c>
      <c r="H13" s="6">
        <f t="shared" si="1"/>
        <v>10</v>
      </c>
      <c r="I13" s="6">
        <f t="shared" si="1"/>
        <v>5</v>
      </c>
      <c r="J13" s="6">
        <f>SUM(J2:J11)</f>
        <v>5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0</v>
      </c>
      <c r="E14" s="10">
        <v>30</v>
      </c>
      <c r="F14" s="10">
        <v>20</v>
      </c>
      <c r="G14" s="10">
        <v>0</v>
      </c>
      <c r="H14" s="10">
        <v>10</v>
      </c>
      <c r="I14" s="10">
        <v>5</v>
      </c>
      <c r="J14" s="10">
        <v>5</v>
      </c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83</v>
      </c>
      <c r="D15" s="4" t="s">
        <v>84</v>
      </c>
      <c r="E15" s="4" t="s">
        <v>0</v>
      </c>
      <c r="F15" s="4" t="s">
        <v>2</v>
      </c>
      <c r="G15" s="4" t="s">
        <v>3</v>
      </c>
      <c r="H15" s="4" t="s">
        <v>85</v>
      </c>
      <c r="I15" s="4" t="s">
        <v>86</v>
      </c>
      <c r="J15" s="4" t="s">
        <v>87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30</v>
      </c>
      <c r="E16" s="12">
        <v>30</v>
      </c>
      <c r="F16" s="12">
        <v>0</v>
      </c>
      <c r="G16" s="12">
        <v>20</v>
      </c>
      <c r="H16" s="12">
        <v>10</v>
      </c>
      <c r="I16" s="12">
        <v>5</v>
      </c>
      <c r="J16" s="15">
        <v>5</v>
      </c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>SUM(D19:D28)</f>
        <v>30</v>
      </c>
      <c r="E17" s="13">
        <f t="shared" si="2"/>
        <v>30</v>
      </c>
      <c r="F17" s="13">
        <f t="shared" si="2"/>
        <v>0</v>
      </c>
      <c r="G17" s="13">
        <f t="shared" si="2"/>
        <v>20</v>
      </c>
      <c r="H17" s="13">
        <f t="shared" si="2"/>
        <v>10</v>
      </c>
      <c r="I17" s="13">
        <f t="shared" si="2"/>
        <v>5</v>
      </c>
      <c r="J17" s="13">
        <f>SUM(J19:J28)</f>
        <v>5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E20" s="1">
        <v>20</v>
      </c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G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E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H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G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I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987" priority="23"/>
  </conditionalFormatting>
  <conditionalFormatting sqref="A3 P3">
    <cfRule type="duplicateValues" dxfId="986" priority="22"/>
  </conditionalFormatting>
  <conditionalFormatting sqref="A4 P4">
    <cfRule type="duplicateValues" dxfId="985" priority="21"/>
  </conditionalFormatting>
  <conditionalFormatting sqref="A5 P5">
    <cfRule type="duplicateValues" dxfId="984" priority="20"/>
  </conditionalFormatting>
  <conditionalFormatting sqref="A6 P6">
    <cfRule type="duplicateValues" dxfId="983" priority="19"/>
  </conditionalFormatting>
  <conditionalFormatting sqref="A7 P7">
    <cfRule type="duplicateValues" dxfId="982" priority="18"/>
  </conditionalFormatting>
  <conditionalFormatting sqref="A8 P8">
    <cfRule type="duplicateValues" dxfId="981" priority="17"/>
  </conditionalFormatting>
  <conditionalFormatting sqref="A9 P9">
    <cfRule type="duplicateValues" dxfId="980" priority="16"/>
  </conditionalFormatting>
  <conditionalFormatting sqref="A10 P10">
    <cfRule type="duplicateValues" dxfId="979" priority="15"/>
  </conditionalFormatting>
  <conditionalFormatting sqref="A11 P11">
    <cfRule type="duplicateValues" dxfId="978" priority="14"/>
  </conditionalFormatting>
  <conditionalFormatting sqref="A13:A14">
    <cfRule type="cellIs" dxfId="977" priority="27" operator="notEqual">
      <formula>100</formula>
    </cfRule>
  </conditionalFormatting>
  <conditionalFormatting sqref="A16:A17">
    <cfRule type="cellIs" dxfId="976" priority="25" operator="notEqual">
      <formula>100</formula>
    </cfRule>
  </conditionalFormatting>
  <conditionalFormatting sqref="A19 P19">
    <cfRule type="duplicateValues" dxfId="975" priority="12"/>
  </conditionalFormatting>
  <conditionalFormatting sqref="A20 P20">
    <cfRule type="duplicateValues" dxfId="974" priority="11"/>
  </conditionalFormatting>
  <conditionalFormatting sqref="A21 P21">
    <cfRule type="duplicateValues" dxfId="973" priority="10"/>
  </conditionalFormatting>
  <conditionalFormatting sqref="A22 P22">
    <cfRule type="duplicateValues" dxfId="972" priority="9"/>
  </conditionalFormatting>
  <conditionalFormatting sqref="A23 P23">
    <cfRule type="duplicateValues" dxfId="971" priority="8"/>
  </conditionalFormatting>
  <conditionalFormatting sqref="A24 P24">
    <cfRule type="duplicateValues" dxfId="970" priority="7"/>
  </conditionalFormatting>
  <conditionalFormatting sqref="A25 P25">
    <cfRule type="duplicateValues" dxfId="969" priority="6"/>
  </conditionalFormatting>
  <conditionalFormatting sqref="A26 P26">
    <cfRule type="duplicateValues" dxfId="968" priority="5"/>
  </conditionalFormatting>
  <conditionalFormatting sqref="A27 P27">
    <cfRule type="duplicateValues" dxfId="967" priority="4"/>
  </conditionalFormatting>
  <conditionalFormatting sqref="A28 P28">
    <cfRule type="duplicateValues" dxfId="966" priority="3"/>
  </conditionalFormatting>
  <conditionalFormatting sqref="C13:N13">
    <cfRule type="cellIs" dxfId="965" priority="2" operator="equal">
      <formula>0</formula>
    </cfRule>
  </conditionalFormatting>
  <conditionalFormatting sqref="C17:N17">
    <cfRule type="cellIs" dxfId="964" priority="1" operator="equal">
      <formula>0</formula>
    </cfRule>
  </conditionalFormatting>
  <conditionalFormatting sqref="P2 A2:A11">
    <cfRule type="duplicateValues" dxfId="963" priority="24"/>
  </conditionalFormatting>
  <conditionalFormatting sqref="P19 A19:A28">
    <cfRule type="duplicateValues" dxfId="962" priority="1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2703-A497-47CE-8051-17B69D58B84B}">
  <dimension ref="A1:P29"/>
  <sheetViews>
    <sheetView workbookViewId="0">
      <selection activeCell="M15" sqref="M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E3" s="1">
        <v>20</v>
      </c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3"/>
      <c r="I7" s="1">
        <v>10</v>
      </c>
      <c r="J7" s="1"/>
      <c r="K7" s="1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J8" s="1">
        <v>5</v>
      </c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K9" s="1">
        <v>5</v>
      </c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L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0</v>
      </c>
      <c r="E13" s="6">
        <f t="shared" si="1"/>
        <v>30</v>
      </c>
      <c r="F13" s="6">
        <f>SUM(F2:F11)</f>
        <v>16</v>
      </c>
      <c r="G13" s="6">
        <f t="shared" si="1"/>
        <v>0</v>
      </c>
      <c r="H13" s="6">
        <f t="shared" si="1"/>
        <v>0</v>
      </c>
      <c r="I13" s="6">
        <f t="shared" si="1"/>
        <v>10</v>
      </c>
      <c r="J13" s="6">
        <f t="shared" si="1"/>
        <v>5</v>
      </c>
      <c r="K13" s="6">
        <f>SUM(K2:K11)</f>
        <v>5</v>
      </c>
      <c r="L13" s="6">
        <f>SUM(L2:L11)</f>
        <v>4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0</v>
      </c>
      <c r="E14" s="10">
        <v>30</v>
      </c>
      <c r="F14" s="10">
        <v>20</v>
      </c>
      <c r="G14" s="10">
        <v>0</v>
      </c>
      <c r="H14" s="10">
        <v>0</v>
      </c>
      <c r="I14" s="10">
        <v>10</v>
      </c>
      <c r="J14" s="10">
        <v>5</v>
      </c>
      <c r="K14" s="10">
        <v>4</v>
      </c>
      <c r="L14" s="10">
        <v>1</v>
      </c>
      <c r="M14" s="10"/>
      <c r="N14" s="10"/>
    </row>
    <row r="15" spans="1:16" ht="20.25" customHeight="1" x14ac:dyDescent="0.25">
      <c r="A15" s="1"/>
      <c r="B15" s="2"/>
      <c r="C15" s="4" t="s">
        <v>83</v>
      </c>
      <c r="D15" s="4" t="s">
        <v>84</v>
      </c>
      <c r="E15" s="4" t="s">
        <v>2</v>
      </c>
      <c r="F15" s="4" t="s">
        <v>0</v>
      </c>
      <c r="G15" s="4" t="s">
        <v>3</v>
      </c>
      <c r="H15" s="4" t="s">
        <v>18</v>
      </c>
      <c r="I15" s="4" t="s">
        <v>85</v>
      </c>
      <c r="J15" s="4" t="s">
        <v>86</v>
      </c>
      <c r="K15" s="4" t="s">
        <v>87</v>
      </c>
      <c r="L15" s="4" t="s">
        <v>88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30</v>
      </c>
      <c r="E16" s="12">
        <v>0</v>
      </c>
      <c r="F16" s="12">
        <v>0</v>
      </c>
      <c r="G16" s="12">
        <v>30</v>
      </c>
      <c r="H16" s="12">
        <v>20</v>
      </c>
      <c r="I16" s="12">
        <v>10</v>
      </c>
      <c r="J16" s="15">
        <v>5</v>
      </c>
      <c r="K16" s="12">
        <v>4</v>
      </c>
      <c r="L16" s="12">
        <v>1</v>
      </c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30</v>
      </c>
      <c r="E17" s="13">
        <f t="shared" si="2"/>
        <v>0</v>
      </c>
      <c r="F17" s="13">
        <f t="shared" si="2"/>
        <v>0</v>
      </c>
      <c r="G17" s="13">
        <f t="shared" ref="G17:L17" si="3">SUM(G19:G28)</f>
        <v>30</v>
      </c>
      <c r="H17" s="13">
        <f t="shared" si="3"/>
        <v>16</v>
      </c>
      <c r="I17" s="13">
        <f t="shared" si="3"/>
        <v>10</v>
      </c>
      <c r="J17" s="13">
        <f t="shared" si="3"/>
        <v>5</v>
      </c>
      <c r="K17" s="13">
        <f t="shared" si="3"/>
        <v>5</v>
      </c>
      <c r="L17" s="13">
        <f t="shared" si="3"/>
        <v>4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4">SUM(C19:N19)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4"/>
        <v>20</v>
      </c>
      <c r="B20" s="2"/>
      <c r="C20" s="3"/>
      <c r="F20" s="3"/>
      <c r="G20" s="1">
        <v>20</v>
      </c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4"/>
        <v>15</v>
      </c>
      <c r="B21" s="2"/>
      <c r="C21" s="3"/>
      <c r="D21" s="3"/>
      <c r="H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4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4"/>
        <v>10</v>
      </c>
      <c r="B23" s="2"/>
      <c r="F23" s="3"/>
      <c r="G23" s="1">
        <v>10</v>
      </c>
      <c r="H23" s="3"/>
      <c r="M23" s="3"/>
      <c r="N23" s="3"/>
      <c r="P23" s="4">
        <v>10</v>
      </c>
    </row>
    <row r="24" spans="1:16" ht="20.25" customHeight="1" x14ac:dyDescent="0.25">
      <c r="A24" s="1">
        <f t="shared" si="4"/>
        <v>10</v>
      </c>
      <c r="B24" s="2"/>
      <c r="F24" s="3"/>
      <c r="G24" s="3"/>
      <c r="I24" s="1">
        <v>10</v>
      </c>
      <c r="J24" s="1"/>
      <c r="K24" s="1"/>
      <c r="M24" s="3"/>
      <c r="N24" s="3"/>
      <c r="P24" s="4">
        <v>10</v>
      </c>
    </row>
    <row r="25" spans="1:16" ht="20.25" customHeight="1" x14ac:dyDescent="0.25">
      <c r="A25" s="1">
        <f t="shared" si="4"/>
        <v>5</v>
      </c>
      <c r="B25" s="2"/>
      <c r="C25" s="3"/>
      <c r="D25" s="3"/>
      <c r="E25" s="3"/>
      <c r="F25" s="3"/>
      <c r="J25" s="1">
        <v>5</v>
      </c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4"/>
        <v>5</v>
      </c>
      <c r="B26" s="2"/>
      <c r="C26" s="3"/>
      <c r="D26" s="3"/>
      <c r="E26" s="3"/>
      <c r="F26" s="3"/>
      <c r="K26" s="1">
        <v>5</v>
      </c>
      <c r="L26" s="3"/>
      <c r="M26" s="3"/>
      <c r="N26" s="3"/>
      <c r="P26" s="4">
        <v>5</v>
      </c>
    </row>
    <row r="27" spans="1:16" ht="20.25" customHeight="1" x14ac:dyDescent="0.25">
      <c r="A27" s="1">
        <f t="shared" si="4"/>
        <v>4</v>
      </c>
      <c r="B27" s="2"/>
      <c r="C27" s="3"/>
      <c r="D27" s="3"/>
      <c r="E27" s="3"/>
      <c r="L27" s="1">
        <v>4</v>
      </c>
      <c r="P27" s="4">
        <v>4</v>
      </c>
    </row>
    <row r="28" spans="1:16" ht="20.25" customHeight="1" x14ac:dyDescent="0.25">
      <c r="A28" s="1">
        <f t="shared" si="4"/>
        <v>1</v>
      </c>
      <c r="B28" s="2"/>
      <c r="C28" s="3"/>
      <c r="D28" s="3"/>
      <c r="E28" s="3"/>
      <c r="H28" s="1">
        <v>1</v>
      </c>
      <c r="P28" s="4">
        <v>1</v>
      </c>
    </row>
    <row r="29" spans="1:16" s="5" customFormat="1" ht="13.5" customHeight="1" x14ac:dyDescent="0.25">
      <c r="C29" s="2">
        <f t="shared" ref="C29:N29" si="5">SUM(C30:C39)</f>
        <v>0</v>
      </c>
      <c r="D29" s="2">
        <f t="shared" si="5"/>
        <v>0</v>
      </c>
      <c r="E29" s="2">
        <f t="shared" si="5"/>
        <v>0</v>
      </c>
      <c r="F29" s="2">
        <f t="shared" si="5"/>
        <v>0</v>
      </c>
      <c r="G29" s="2">
        <f t="shared" si="5"/>
        <v>0</v>
      </c>
      <c r="H29" s="2">
        <f t="shared" si="5"/>
        <v>0</v>
      </c>
      <c r="I29" s="2">
        <f t="shared" si="5"/>
        <v>0</v>
      </c>
      <c r="J29" s="2">
        <f t="shared" si="5"/>
        <v>0</v>
      </c>
      <c r="K29" s="2">
        <f t="shared" si="5"/>
        <v>0</v>
      </c>
      <c r="L29" s="2">
        <f t="shared" si="5"/>
        <v>0</v>
      </c>
      <c r="M29" s="2">
        <f t="shared" si="5"/>
        <v>0</v>
      </c>
      <c r="N29" s="2">
        <f t="shared" si="5"/>
        <v>0</v>
      </c>
    </row>
  </sheetData>
  <conditionalFormatting sqref="A2 P2">
    <cfRule type="duplicateValues" dxfId="961" priority="23"/>
  </conditionalFormatting>
  <conditionalFormatting sqref="A3 P3">
    <cfRule type="duplicateValues" dxfId="960" priority="22"/>
  </conditionalFormatting>
  <conditionalFormatting sqref="A4 P4">
    <cfRule type="duplicateValues" dxfId="959" priority="21"/>
  </conditionalFormatting>
  <conditionalFormatting sqref="A5 P5">
    <cfRule type="duplicateValues" dxfId="958" priority="20"/>
  </conditionalFormatting>
  <conditionalFormatting sqref="A6 P6">
    <cfRule type="duplicateValues" dxfId="957" priority="19"/>
  </conditionalFormatting>
  <conditionalFormatting sqref="A7 P7">
    <cfRule type="duplicateValues" dxfId="956" priority="18"/>
  </conditionalFormatting>
  <conditionalFormatting sqref="A8 P8">
    <cfRule type="duplicateValues" dxfId="955" priority="17"/>
  </conditionalFormatting>
  <conditionalFormatting sqref="A9 P9">
    <cfRule type="duplicateValues" dxfId="954" priority="16"/>
  </conditionalFormatting>
  <conditionalFormatting sqref="A10 P10">
    <cfRule type="duplicateValues" dxfId="953" priority="15"/>
  </conditionalFormatting>
  <conditionalFormatting sqref="A11 P11">
    <cfRule type="duplicateValues" dxfId="952" priority="14"/>
  </conditionalFormatting>
  <conditionalFormatting sqref="A13:A14">
    <cfRule type="cellIs" dxfId="951" priority="27" operator="notEqual">
      <formula>100</formula>
    </cfRule>
  </conditionalFormatting>
  <conditionalFormatting sqref="A16:A17">
    <cfRule type="cellIs" dxfId="950" priority="25" operator="notEqual">
      <formula>100</formula>
    </cfRule>
  </conditionalFormatting>
  <conditionalFormatting sqref="A19 P19">
    <cfRule type="duplicateValues" dxfId="949" priority="12"/>
  </conditionalFormatting>
  <conditionalFormatting sqref="A20 P20">
    <cfRule type="duplicateValues" dxfId="948" priority="11"/>
  </conditionalFormatting>
  <conditionalFormatting sqref="A21 P21">
    <cfRule type="duplicateValues" dxfId="947" priority="10"/>
  </conditionalFormatting>
  <conditionalFormatting sqref="A22 P22">
    <cfRule type="duplicateValues" dxfId="946" priority="9"/>
  </conditionalFormatting>
  <conditionalFormatting sqref="A23 P23">
    <cfRule type="duplicateValues" dxfId="945" priority="8"/>
  </conditionalFormatting>
  <conditionalFormatting sqref="A24 P24">
    <cfRule type="duplicateValues" dxfId="944" priority="7"/>
  </conditionalFormatting>
  <conditionalFormatting sqref="A25 P25">
    <cfRule type="duplicateValues" dxfId="943" priority="6"/>
  </conditionalFormatting>
  <conditionalFormatting sqref="A26 P26">
    <cfRule type="duplicateValues" dxfId="942" priority="5"/>
  </conditionalFormatting>
  <conditionalFormatting sqref="A27 P27">
    <cfRule type="duplicateValues" dxfId="941" priority="4"/>
  </conditionalFormatting>
  <conditionalFormatting sqref="A28 P28">
    <cfRule type="duplicateValues" dxfId="940" priority="3"/>
  </conditionalFormatting>
  <conditionalFormatting sqref="C13:N13">
    <cfRule type="cellIs" dxfId="939" priority="2" operator="equal">
      <formula>0</formula>
    </cfRule>
  </conditionalFormatting>
  <conditionalFormatting sqref="C17:N17">
    <cfRule type="cellIs" dxfId="938" priority="1" operator="equal">
      <formula>0</formula>
    </cfRule>
  </conditionalFormatting>
  <conditionalFormatting sqref="P2 A2:A11">
    <cfRule type="duplicateValues" dxfId="937" priority="24"/>
  </conditionalFormatting>
  <conditionalFormatting sqref="P19 A19:A28">
    <cfRule type="duplicateValues" dxfId="936" priority="1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76C23-1A85-46AF-8E20-CF6BAE99731F}">
  <dimension ref="A1:P29"/>
  <sheetViews>
    <sheetView workbookViewId="0">
      <selection activeCell="L15" sqref="L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>SUM(C4:N4)</f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35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35</v>
      </c>
      <c r="D14" s="10">
        <v>30</v>
      </c>
      <c r="E14" s="10">
        <v>20</v>
      </c>
      <c r="F14" s="10">
        <v>10</v>
      </c>
      <c r="G14" s="10">
        <v>5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/>
      <c r="N14" s="10"/>
    </row>
    <row r="15" spans="1:16" ht="20.25" customHeight="1" x14ac:dyDescent="0.25">
      <c r="A15" s="1"/>
      <c r="B15" s="2"/>
      <c r="C15" s="4" t="s">
        <v>2</v>
      </c>
      <c r="D15" s="4" t="s">
        <v>8</v>
      </c>
      <c r="E15" s="4" t="s">
        <v>79</v>
      </c>
      <c r="F15" s="4" t="s">
        <v>89</v>
      </c>
      <c r="G15" s="4" t="s">
        <v>90</v>
      </c>
      <c r="H15" s="4" t="s">
        <v>3</v>
      </c>
      <c r="I15" s="4" t="s">
        <v>9</v>
      </c>
      <c r="J15" s="4" t="s">
        <v>22</v>
      </c>
      <c r="K15" s="17" t="s">
        <v>91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0</v>
      </c>
      <c r="E16" s="12">
        <v>20</v>
      </c>
      <c r="F16" s="12">
        <v>0</v>
      </c>
      <c r="G16" s="12">
        <v>0</v>
      </c>
      <c r="H16" s="12">
        <v>45</v>
      </c>
      <c r="I16" s="12">
        <v>30</v>
      </c>
      <c r="J16" s="15">
        <v>5</v>
      </c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0</v>
      </c>
      <c r="E17" s="13">
        <f>SUM(E19:E28)</f>
        <v>20</v>
      </c>
      <c r="F17" s="13">
        <f t="shared" si="2"/>
        <v>0</v>
      </c>
      <c r="G17" s="13">
        <f t="shared" si="2"/>
        <v>0</v>
      </c>
      <c r="H17" s="13">
        <f t="shared" si="2"/>
        <v>35</v>
      </c>
      <c r="I17" s="13">
        <f t="shared" si="2"/>
        <v>25</v>
      </c>
      <c r="J17" s="13">
        <f>SUM(J19:J28)</f>
        <v>5</v>
      </c>
      <c r="K17" s="13">
        <f t="shared" si="2"/>
        <v>15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>
        <v>20</v>
      </c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E20" s="3"/>
      <c r="F20" s="3"/>
      <c r="G20" s="3"/>
      <c r="H20" s="1">
        <v>20</v>
      </c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I22" s="3"/>
      <c r="K22" s="1">
        <v>10</v>
      </c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H23" s="3"/>
      <c r="I23" s="1">
        <v>10</v>
      </c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>
        <v>10</v>
      </c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I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K26" s="1">
        <v>5</v>
      </c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935" priority="23"/>
  </conditionalFormatting>
  <conditionalFormatting sqref="A3 P3">
    <cfRule type="duplicateValues" dxfId="934" priority="22"/>
  </conditionalFormatting>
  <conditionalFormatting sqref="A4 P4">
    <cfRule type="duplicateValues" dxfId="933" priority="21"/>
  </conditionalFormatting>
  <conditionalFormatting sqref="A5 P5">
    <cfRule type="duplicateValues" dxfId="932" priority="20"/>
  </conditionalFormatting>
  <conditionalFormatting sqref="A6 P6">
    <cfRule type="duplicateValues" dxfId="931" priority="19"/>
  </conditionalFormatting>
  <conditionalFormatting sqref="A7 P7">
    <cfRule type="duplicateValues" dxfId="930" priority="18"/>
  </conditionalFormatting>
  <conditionalFormatting sqref="A8 P8">
    <cfRule type="duplicateValues" dxfId="929" priority="17"/>
  </conditionalFormatting>
  <conditionalFormatting sqref="A9 P9">
    <cfRule type="duplicateValues" dxfId="928" priority="16"/>
  </conditionalFormatting>
  <conditionalFormatting sqref="A10 P10">
    <cfRule type="duplicateValues" dxfId="927" priority="15"/>
  </conditionalFormatting>
  <conditionalFormatting sqref="A11 P11">
    <cfRule type="duplicateValues" dxfId="926" priority="14"/>
  </conditionalFormatting>
  <conditionalFormatting sqref="A13:A14">
    <cfRule type="cellIs" dxfId="925" priority="27" operator="notEqual">
      <formula>100</formula>
    </cfRule>
  </conditionalFormatting>
  <conditionalFormatting sqref="A16:A17">
    <cfRule type="cellIs" dxfId="924" priority="25" operator="notEqual">
      <formula>100</formula>
    </cfRule>
  </conditionalFormatting>
  <conditionalFormatting sqref="A19 P19">
    <cfRule type="duplicateValues" dxfId="923" priority="12"/>
  </conditionalFormatting>
  <conditionalFormatting sqref="A20 P20">
    <cfRule type="duplicateValues" dxfId="922" priority="11"/>
  </conditionalFormatting>
  <conditionalFormatting sqref="A21 P21">
    <cfRule type="duplicateValues" dxfId="921" priority="10"/>
  </conditionalFormatting>
  <conditionalFormatting sqref="A22 P22">
    <cfRule type="duplicateValues" dxfId="920" priority="9"/>
  </conditionalFormatting>
  <conditionalFormatting sqref="A23 P23">
    <cfRule type="duplicateValues" dxfId="919" priority="8"/>
  </conditionalFormatting>
  <conditionalFormatting sqref="A24 P24">
    <cfRule type="duplicateValues" dxfId="918" priority="7"/>
  </conditionalFormatting>
  <conditionalFormatting sqref="A25 P25">
    <cfRule type="duplicateValues" dxfId="917" priority="6"/>
  </conditionalFormatting>
  <conditionalFormatting sqref="A26 P26">
    <cfRule type="duplicateValues" dxfId="916" priority="5"/>
  </conditionalFormatting>
  <conditionalFormatting sqref="A27 P27">
    <cfRule type="duplicateValues" dxfId="915" priority="4"/>
  </conditionalFormatting>
  <conditionalFormatting sqref="A28 P28">
    <cfRule type="duplicateValues" dxfId="914" priority="3"/>
  </conditionalFormatting>
  <conditionalFormatting sqref="C13:N13">
    <cfRule type="cellIs" dxfId="913" priority="2" operator="equal">
      <formula>0</formula>
    </cfRule>
  </conditionalFormatting>
  <conditionalFormatting sqref="C17:N17">
    <cfRule type="cellIs" dxfId="912" priority="1" operator="equal">
      <formula>0</formula>
    </cfRule>
  </conditionalFormatting>
  <conditionalFormatting sqref="P2 A2:A11">
    <cfRule type="duplicateValues" dxfId="911" priority="24"/>
  </conditionalFormatting>
  <conditionalFormatting sqref="P19 A19:A28">
    <cfRule type="duplicateValues" dxfId="910" priority="13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DA0BA-8724-45DE-A9A1-26155C48D263}">
  <dimension ref="A1:P29"/>
  <sheetViews>
    <sheetView workbookViewId="0">
      <selection activeCell="A15" sqref="A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E3" s="3"/>
      <c r="F3" s="3"/>
      <c r="G3" s="3"/>
      <c r="H3" s="3"/>
      <c r="I3" s="1">
        <v>20</v>
      </c>
      <c r="L3" s="3"/>
      <c r="M3" s="3"/>
      <c r="N3" s="3"/>
      <c r="P3" s="4">
        <v>20</v>
      </c>
    </row>
    <row r="4" spans="1:16" ht="19.5" customHeight="1" x14ac:dyDescent="0.25">
      <c r="A4" s="1">
        <f>SUM(D4:N4)</f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>SUM(D6:N6)</f>
        <v>10</v>
      </c>
      <c r="B6" s="2"/>
      <c r="F6" s="3"/>
      <c r="H6" s="3"/>
      <c r="I6" s="3"/>
      <c r="K6" s="1">
        <v>10</v>
      </c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>SUM(C8:N8)</f>
        <v>5</v>
      </c>
      <c r="B8" s="2"/>
      <c r="C8" s="3"/>
      <c r="D8" s="3"/>
      <c r="J8" s="3"/>
      <c r="L8" s="3"/>
      <c r="M8" s="1">
        <v>5</v>
      </c>
      <c r="N8" s="3"/>
      <c r="P8" s="4">
        <v>5</v>
      </c>
    </row>
    <row r="9" spans="1:16" ht="19.5" customHeight="1" x14ac:dyDescent="0.25">
      <c r="A9" s="1">
        <f>SUM(C9:M9)</f>
        <v>5</v>
      </c>
      <c r="B9" s="2"/>
      <c r="C9" s="3"/>
      <c r="D9" s="3"/>
      <c r="L9" s="3"/>
      <c r="M9" s="1">
        <v>5</v>
      </c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25</v>
      </c>
      <c r="E13" s="6">
        <f t="shared" ref="E13:M13" si="2">SUM(E2:E11)</f>
        <v>10</v>
      </c>
      <c r="F13" s="6">
        <f t="shared" si="2"/>
        <v>5</v>
      </c>
      <c r="G13" s="6">
        <f t="shared" si="2"/>
        <v>0</v>
      </c>
      <c r="H13" s="6">
        <f t="shared" si="2"/>
        <v>0</v>
      </c>
      <c r="I13" s="6">
        <f t="shared" si="2"/>
        <v>20</v>
      </c>
      <c r="J13" s="6">
        <f t="shared" si="2"/>
        <v>0</v>
      </c>
      <c r="K13" s="6">
        <f t="shared" si="2"/>
        <v>10</v>
      </c>
      <c r="L13" s="6">
        <f t="shared" si="2"/>
        <v>0</v>
      </c>
      <c r="M13" s="6">
        <f t="shared" si="2"/>
        <v>10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80</v>
      </c>
      <c r="B14" s="9"/>
      <c r="C14" s="10">
        <v>35</v>
      </c>
      <c r="D14" s="10">
        <v>30</v>
      </c>
      <c r="E14" s="10">
        <v>10</v>
      </c>
      <c r="F14" s="10">
        <v>5</v>
      </c>
      <c r="G14" s="10">
        <v>0</v>
      </c>
      <c r="H14" s="10">
        <v>0</v>
      </c>
      <c r="I14" s="10">
        <v>0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2</v>
      </c>
      <c r="D15" s="4" t="s">
        <v>8</v>
      </c>
      <c r="E15" s="4" t="s">
        <v>89</v>
      </c>
      <c r="F15" s="4" t="s">
        <v>90</v>
      </c>
      <c r="G15" s="4" t="s">
        <v>3</v>
      </c>
      <c r="H15" s="4" t="s">
        <v>9</v>
      </c>
      <c r="I15" s="4" t="s">
        <v>96</v>
      </c>
      <c r="J15" s="17" t="s">
        <v>91</v>
      </c>
      <c r="K15" s="4" t="s">
        <v>92</v>
      </c>
      <c r="L15" s="4" t="s">
        <v>94</v>
      </c>
      <c r="M15" s="4" t="s">
        <v>93</v>
      </c>
      <c r="N15" s="4" t="s">
        <v>95</v>
      </c>
    </row>
    <row r="16" spans="1:16" s="11" customFormat="1" ht="14.25" customHeight="1" x14ac:dyDescent="0.25">
      <c r="A16" s="14">
        <f>SUM(C16:N16)</f>
        <v>80</v>
      </c>
      <c r="B16" s="9"/>
      <c r="C16" s="12">
        <v>0</v>
      </c>
      <c r="D16" s="12">
        <v>0</v>
      </c>
      <c r="E16" s="12">
        <v>0</v>
      </c>
      <c r="F16" s="12">
        <v>0</v>
      </c>
      <c r="G16" s="12">
        <v>45</v>
      </c>
      <c r="H16" s="12">
        <v>30</v>
      </c>
      <c r="I16" s="12">
        <v>5</v>
      </c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3">SUM(C19:C28)</f>
        <v>0</v>
      </c>
      <c r="D17" s="13">
        <f t="shared" si="3"/>
        <v>0</v>
      </c>
      <c r="E17" s="13">
        <f>SUM(E19:E28)</f>
        <v>0</v>
      </c>
      <c r="F17" s="13">
        <f t="shared" si="3"/>
        <v>0</v>
      </c>
      <c r="G17" s="13">
        <f t="shared" si="3"/>
        <v>20</v>
      </c>
      <c r="H17" s="13">
        <f t="shared" si="3"/>
        <v>25</v>
      </c>
      <c r="I17" s="13">
        <f>SUM(I19:I28)</f>
        <v>20</v>
      </c>
      <c r="J17" s="13">
        <f>SUM(J19:J28)</f>
        <v>15</v>
      </c>
      <c r="K17" s="13">
        <f>SUM(K19:K28)</f>
        <v>0</v>
      </c>
      <c r="L17" s="13">
        <f t="shared" si="3"/>
        <v>10</v>
      </c>
      <c r="M17" s="13">
        <f t="shared" si="3"/>
        <v>0</v>
      </c>
      <c r="N17" s="13">
        <f t="shared" si="3"/>
        <v>10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F19" s="3"/>
      <c r="G19" s="3"/>
      <c r="H19" s="3"/>
      <c r="I19" s="3">
        <v>20</v>
      </c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4">SUM(C20:N20)</f>
        <v>20</v>
      </c>
      <c r="B20" s="2"/>
      <c r="C20" s="3"/>
      <c r="E20" s="3"/>
      <c r="F20" s="3"/>
      <c r="G20" s="1">
        <v>20</v>
      </c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4"/>
        <v>15</v>
      </c>
      <c r="B21" s="2"/>
      <c r="C21" s="3"/>
      <c r="D21" s="3"/>
      <c r="H21" s="1">
        <v>15</v>
      </c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4"/>
        <v>10</v>
      </c>
      <c r="B22" s="2"/>
      <c r="H22" s="1">
        <v>10</v>
      </c>
      <c r="L22" s="3"/>
      <c r="M22" s="3"/>
      <c r="N22" s="3"/>
      <c r="P22" s="4">
        <v>10</v>
      </c>
    </row>
    <row r="23" spans="1:16" ht="20.25" customHeight="1" x14ac:dyDescent="0.25">
      <c r="A23" s="1">
        <f t="shared" si="4"/>
        <v>10</v>
      </c>
      <c r="B23" s="2"/>
      <c r="F23" s="3"/>
      <c r="L23" s="1">
        <v>10</v>
      </c>
      <c r="N23" s="3"/>
      <c r="P23" s="4">
        <v>10</v>
      </c>
    </row>
    <row r="24" spans="1:16" ht="20.25" customHeight="1" x14ac:dyDescent="0.25">
      <c r="A24" s="1">
        <f t="shared" si="4"/>
        <v>10</v>
      </c>
      <c r="B24" s="2"/>
      <c r="F24" s="3"/>
      <c r="G24" s="3"/>
      <c r="J24" s="1">
        <v>10</v>
      </c>
      <c r="L24" s="3"/>
      <c r="M24" s="3"/>
      <c r="N24" s="3"/>
      <c r="P24" s="4">
        <v>10</v>
      </c>
    </row>
    <row r="25" spans="1:16" ht="20.25" customHeight="1" x14ac:dyDescent="0.25">
      <c r="A25" s="1">
        <f>SUM(C25:N25)</f>
        <v>5</v>
      </c>
      <c r="B25" s="2"/>
      <c r="C25" s="3"/>
      <c r="D25" s="3"/>
      <c r="E25" s="3"/>
      <c r="F25" s="3"/>
      <c r="L25" s="3"/>
      <c r="M25" s="3"/>
      <c r="N25" s="1">
        <v>5</v>
      </c>
      <c r="P25" s="4">
        <v>5</v>
      </c>
    </row>
    <row r="26" spans="1:16" ht="20.25" customHeight="1" x14ac:dyDescent="0.25">
      <c r="A26" s="1">
        <f>SUM(C26:N26)</f>
        <v>5</v>
      </c>
      <c r="B26" s="2"/>
      <c r="C26" s="3"/>
      <c r="D26" s="3"/>
      <c r="E26" s="3"/>
      <c r="F26" s="3"/>
      <c r="L26" s="3"/>
      <c r="M26" s="3"/>
      <c r="N26" s="1">
        <v>5</v>
      </c>
      <c r="P26" s="4">
        <v>5</v>
      </c>
    </row>
    <row r="27" spans="1:16" ht="20.25" customHeight="1" x14ac:dyDescent="0.25">
      <c r="A27" s="1">
        <f t="shared" si="4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4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5">SUM(C30:C39)</f>
        <v>0</v>
      </c>
      <c r="D29" s="2">
        <f t="shared" si="5"/>
        <v>0</v>
      </c>
      <c r="E29" s="2">
        <f t="shared" si="5"/>
        <v>0</v>
      </c>
      <c r="F29" s="2">
        <f t="shared" si="5"/>
        <v>0</v>
      </c>
      <c r="G29" s="2">
        <f t="shared" si="5"/>
        <v>0</v>
      </c>
      <c r="H29" s="2">
        <f t="shared" si="5"/>
        <v>0</v>
      </c>
      <c r="I29" s="2">
        <f t="shared" si="5"/>
        <v>0</v>
      </c>
      <c r="J29" s="2">
        <f t="shared" si="5"/>
        <v>0</v>
      </c>
      <c r="K29" s="2">
        <f t="shared" si="5"/>
        <v>0</v>
      </c>
      <c r="L29" s="2">
        <f t="shared" si="5"/>
        <v>0</v>
      </c>
      <c r="M29" s="2">
        <f t="shared" si="5"/>
        <v>0</v>
      </c>
      <c r="N29" s="2">
        <f t="shared" si="5"/>
        <v>0</v>
      </c>
    </row>
  </sheetData>
  <conditionalFormatting sqref="A2 P2">
    <cfRule type="duplicateValues" dxfId="909" priority="23"/>
  </conditionalFormatting>
  <conditionalFormatting sqref="A3 P3">
    <cfRule type="duplicateValues" dxfId="908" priority="22"/>
  </conditionalFormatting>
  <conditionalFormatting sqref="A4 P4">
    <cfRule type="duplicateValues" dxfId="907" priority="21"/>
  </conditionalFormatting>
  <conditionalFormatting sqref="A5 P5">
    <cfRule type="duplicateValues" dxfId="906" priority="20"/>
  </conditionalFormatting>
  <conditionalFormatting sqref="A6 P6">
    <cfRule type="duplicateValues" dxfId="905" priority="19"/>
  </conditionalFormatting>
  <conditionalFormatting sqref="A7 P7">
    <cfRule type="duplicateValues" dxfId="904" priority="18"/>
  </conditionalFormatting>
  <conditionalFormatting sqref="A8 P8">
    <cfRule type="duplicateValues" dxfId="903" priority="17"/>
  </conditionalFormatting>
  <conditionalFormatting sqref="A9 P9">
    <cfRule type="duplicateValues" dxfId="902" priority="16"/>
  </conditionalFormatting>
  <conditionalFormatting sqref="A10 P10">
    <cfRule type="duplicateValues" dxfId="901" priority="15"/>
  </conditionalFormatting>
  <conditionalFormatting sqref="A11 P11">
    <cfRule type="duplicateValues" dxfId="900" priority="14"/>
  </conditionalFormatting>
  <conditionalFormatting sqref="A13:A14">
    <cfRule type="cellIs" dxfId="899" priority="26" operator="notEqual">
      <formula>100</formula>
    </cfRule>
  </conditionalFormatting>
  <conditionalFormatting sqref="A16:A17">
    <cfRule type="cellIs" dxfId="898" priority="25" operator="notEqual">
      <formula>100</formula>
    </cfRule>
  </conditionalFormatting>
  <conditionalFormatting sqref="A19 P19">
    <cfRule type="duplicateValues" dxfId="897" priority="12"/>
  </conditionalFormatting>
  <conditionalFormatting sqref="A20 P20">
    <cfRule type="duplicateValues" dxfId="896" priority="11"/>
  </conditionalFormatting>
  <conditionalFormatting sqref="A21 P21">
    <cfRule type="duplicateValues" dxfId="895" priority="10"/>
  </conditionalFormatting>
  <conditionalFormatting sqref="A22 P22">
    <cfRule type="duplicateValues" dxfId="894" priority="9"/>
  </conditionalFormatting>
  <conditionalFormatting sqref="A23 P23">
    <cfRule type="duplicateValues" dxfId="893" priority="8"/>
  </conditionalFormatting>
  <conditionalFormatting sqref="A24 P24">
    <cfRule type="duplicateValues" dxfId="892" priority="7"/>
  </conditionalFormatting>
  <conditionalFormatting sqref="A25 P25">
    <cfRule type="duplicateValues" dxfId="891" priority="6"/>
  </conditionalFormatting>
  <conditionalFormatting sqref="A26 P26">
    <cfRule type="duplicateValues" dxfId="890" priority="5"/>
  </conditionalFormatting>
  <conditionalFormatting sqref="A27 P27">
    <cfRule type="duplicateValues" dxfId="889" priority="4"/>
  </conditionalFormatting>
  <conditionalFormatting sqref="A28 P28">
    <cfRule type="duplicateValues" dxfId="888" priority="3"/>
  </conditionalFormatting>
  <conditionalFormatting sqref="C13:N13">
    <cfRule type="cellIs" dxfId="887" priority="2" operator="equal">
      <formula>0</formula>
    </cfRule>
  </conditionalFormatting>
  <conditionalFormatting sqref="C17:N17">
    <cfRule type="cellIs" dxfId="886" priority="1" operator="equal">
      <formula>0</formula>
    </cfRule>
  </conditionalFormatting>
  <conditionalFormatting sqref="P2 A2:A11">
    <cfRule type="duplicateValues" dxfId="885" priority="24"/>
  </conditionalFormatting>
  <conditionalFormatting sqref="P19 A19:A28">
    <cfRule type="duplicateValues" dxfId="884" priority="13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35D18-D433-4754-AEB2-04FCCB9F54A9}">
  <dimension ref="A1:P29"/>
  <sheetViews>
    <sheetView workbookViewId="0">
      <selection activeCell="K15" sqref="K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H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0</v>
      </c>
      <c r="H13" s="6">
        <f t="shared" si="1"/>
        <v>5</v>
      </c>
      <c r="I13" s="6">
        <f>SUM(I2:I11)</f>
        <v>5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0</v>
      </c>
      <c r="H14" s="10">
        <v>5</v>
      </c>
      <c r="I14" s="10">
        <v>5</v>
      </c>
      <c r="J14" s="10">
        <v>0</v>
      </c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24</v>
      </c>
      <c r="E15" s="4" t="s">
        <v>97</v>
      </c>
      <c r="F15" s="4" t="s">
        <v>92</v>
      </c>
      <c r="G15" s="4" t="s">
        <v>94</v>
      </c>
      <c r="H15" s="4" t="s">
        <v>98</v>
      </c>
      <c r="I15" s="4" t="s">
        <v>99</v>
      </c>
      <c r="J15" s="4" t="s">
        <v>100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30</v>
      </c>
      <c r="E16" s="12">
        <v>20</v>
      </c>
      <c r="F16" s="12">
        <v>0</v>
      </c>
      <c r="G16" s="12">
        <v>10</v>
      </c>
      <c r="H16" s="12">
        <v>0</v>
      </c>
      <c r="I16" s="12">
        <v>0</v>
      </c>
      <c r="J16" s="15">
        <v>40</v>
      </c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>SUM(D19:D28)</f>
        <v>30</v>
      </c>
      <c r="E17" s="13">
        <f t="shared" si="2"/>
        <v>20</v>
      </c>
      <c r="F17" s="13">
        <f t="shared" si="2"/>
        <v>0</v>
      </c>
      <c r="G17" s="13">
        <f t="shared" si="2"/>
        <v>10</v>
      </c>
      <c r="H17" s="13">
        <f t="shared" si="2"/>
        <v>0</v>
      </c>
      <c r="I17" s="13">
        <f t="shared" si="2"/>
        <v>0</v>
      </c>
      <c r="J17" s="13">
        <f>SUM(J19:J28)</f>
        <v>40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F20" s="3"/>
      <c r="G20" s="3"/>
      <c r="H20" s="3"/>
      <c r="I20" s="3"/>
      <c r="J20" s="1">
        <v>20</v>
      </c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SUM(D22:N22)</f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G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/>
      <c r="J24" s="1">
        <v>10</v>
      </c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E26" s="3"/>
      <c r="F26" s="3"/>
      <c r="J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883" priority="23"/>
  </conditionalFormatting>
  <conditionalFormatting sqref="A3 P3">
    <cfRule type="duplicateValues" dxfId="882" priority="22"/>
  </conditionalFormatting>
  <conditionalFormatting sqref="A4 P4">
    <cfRule type="duplicateValues" dxfId="881" priority="21"/>
  </conditionalFormatting>
  <conditionalFormatting sqref="A5 P5">
    <cfRule type="duplicateValues" dxfId="880" priority="20"/>
  </conditionalFormatting>
  <conditionalFormatting sqref="A6 P6">
    <cfRule type="duplicateValues" dxfId="879" priority="19"/>
  </conditionalFormatting>
  <conditionalFormatting sqref="A7 P7">
    <cfRule type="duplicateValues" dxfId="878" priority="18"/>
  </conditionalFormatting>
  <conditionalFormatting sqref="A8 P8">
    <cfRule type="duplicateValues" dxfId="877" priority="17"/>
  </conditionalFormatting>
  <conditionalFormatting sqref="A9 P9">
    <cfRule type="duplicateValues" dxfId="876" priority="16"/>
  </conditionalFormatting>
  <conditionalFormatting sqref="A10 P10">
    <cfRule type="duplicateValues" dxfId="875" priority="15"/>
  </conditionalFormatting>
  <conditionalFormatting sqref="A11 P11">
    <cfRule type="duplicateValues" dxfId="874" priority="14"/>
  </conditionalFormatting>
  <conditionalFormatting sqref="A13:A14">
    <cfRule type="cellIs" dxfId="873" priority="27" operator="notEqual">
      <formula>100</formula>
    </cfRule>
  </conditionalFormatting>
  <conditionalFormatting sqref="A16:A17">
    <cfRule type="cellIs" dxfId="872" priority="25" operator="notEqual">
      <formula>100</formula>
    </cfRule>
  </conditionalFormatting>
  <conditionalFormatting sqref="A19 P19">
    <cfRule type="duplicateValues" dxfId="871" priority="12"/>
  </conditionalFormatting>
  <conditionalFormatting sqref="A20 P20">
    <cfRule type="duplicateValues" dxfId="870" priority="11"/>
  </conditionalFormatting>
  <conditionalFormatting sqref="A21 P21">
    <cfRule type="duplicateValues" dxfId="869" priority="10"/>
  </conditionalFormatting>
  <conditionalFormatting sqref="A22 P22">
    <cfRule type="duplicateValues" dxfId="868" priority="9"/>
  </conditionalFormatting>
  <conditionalFormatting sqref="A23 P23">
    <cfRule type="duplicateValues" dxfId="867" priority="8"/>
  </conditionalFormatting>
  <conditionalFormatting sqref="A24 P24">
    <cfRule type="duplicateValues" dxfId="866" priority="7"/>
  </conditionalFormatting>
  <conditionalFormatting sqref="A25 P25">
    <cfRule type="duplicateValues" dxfId="865" priority="6"/>
  </conditionalFormatting>
  <conditionalFormatting sqref="A26 P26">
    <cfRule type="duplicateValues" dxfId="864" priority="5"/>
  </conditionalFormatting>
  <conditionalFormatting sqref="A27 P27">
    <cfRule type="duplicateValues" dxfId="863" priority="4"/>
  </conditionalFormatting>
  <conditionalFormatting sqref="A28 P28">
    <cfRule type="duplicateValues" dxfId="862" priority="3"/>
  </conditionalFormatting>
  <conditionalFormatting sqref="C13:N13">
    <cfRule type="cellIs" dxfId="861" priority="2" operator="equal">
      <formula>0</formula>
    </cfRule>
  </conditionalFormatting>
  <conditionalFormatting sqref="C17:N17">
    <cfRule type="cellIs" dxfId="860" priority="1" operator="equal">
      <formula>0</formula>
    </cfRule>
  </conditionalFormatting>
  <conditionalFormatting sqref="P2 A2:A11">
    <cfRule type="duplicateValues" dxfId="859" priority="24"/>
  </conditionalFormatting>
  <conditionalFormatting sqref="P19 A19:A28">
    <cfRule type="duplicateValues" dxfId="858" priority="13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6306D-B934-4ED6-BDDA-9BC485044F9B}">
  <dimension ref="A1:P29"/>
  <sheetViews>
    <sheetView tabSelected="1" workbookViewId="0">
      <selection activeCell="K15" sqref="K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H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0</v>
      </c>
      <c r="H13" s="6">
        <f t="shared" si="1"/>
        <v>5</v>
      </c>
      <c r="I13" s="6">
        <f t="shared" si="1"/>
        <v>5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/>
      <c r="H14" s="10">
        <v>5</v>
      </c>
      <c r="I14" s="10">
        <v>5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24</v>
      </c>
      <c r="E15" s="4" t="s">
        <v>97</v>
      </c>
      <c r="F15" s="4" t="s">
        <v>92</v>
      </c>
      <c r="G15" s="4" t="s">
        <v>94</v>
      </c>
      <c r="H15" s="4" t="s">
        <v>98</v>
      </c>
      <c r="I15" s="4" t="s">
        <v>99</v>
      </c>
      <c r="J15" s="4" t="s">
        <v>100</v>
      </c>
    </row>
    <row r="16" spans="1:16" s="11" customFormat="1" ht="14.25" customHeight="1" x14ac:dyDescent="0.25">
      <c r="A16" s="14">
        <f>SUM(C16:N16)</f>
        <v>100</v>
      </c>
      <c r="B16" s="9"/>
      <c r="C16" s="12"/>
      <c r="D16" s="12">
        <v>30</v>
      </c>
      <c r="E16" s="12">
        <v>20</v>
      </c>
      <c r="F16" s="12"/>
      <c r="G16" s="12">
        <v>10</v>
      </c>
      <c r="H16" s="12"/>
      <c r="I16" s="12"/>
      <c r="J16" s="15">
        <v>40</v>
      </c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30</v>
      </c>
      <c r="E17" s="13">
        <f t="shared" si="2"/>
        <v>20</v>
      </c>
      <c r="F17" s="13">
        <f t="shared" si="2"/>
        <v>0</v>
      </c>
      <c r="G17" s="13">
        <f t="shared" si="2"/>
        <v>10</v>
      </c>
      <c r="H17" s="13">
        <f t="shared" si="2"/>
        <v>0</v>
      </c>
      <c r="I17" s="13">
        <f t="shared" si="2"/>
        <v>0</v>
      </c>
      <c r="J17" s="13">
        <f t="shared" si="2"/>
        <v>40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F20" s="3"/>
      <c r="G20" s="3"/>
      <c r="H20" s="3"/>
      <c r="I20" s="3"/>
      <c r="J20" s="1">
        <v>20</v>
      </c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G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/>
      <c r="J24" s="1">
        <v>10</v>
      </c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E26" s="3"/>
      <c r="F26" s="3"/>
      <c r="J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857" priority="23"/>
  </conditionalFormatting>
  <conditionalFormatting sqref="A3 P3">
    <cfRule type="duplicateValues" dxfId="856" priority="22"/>
  </conditionalFormatting>
  <conditionalFormatting sqref="A4 P4">
    <cfRule type="duplicateValues" dxfId="855" priority="21"/>
  </conditionalFormatting>
  <conditionalFormatting sqref="A5 P5">
    <cfRule type="duplicateValues" dxfId="854" priority="20"/>
  </conditionalFormatting>
  <conditionalFormatting sqref="A6 P6">
    <cfRule type="duplicateValues" dxfId="853" priority="19"/>
  </conditionalFormatting>
  <conditionalFormatting sqref="A7 P7">
    <cfRule type="duplicateValues" dxfId="852" priority="18"/>
  </conditionalFormatting>
  <conditionalFormatting sqref="A8 P8">
    <cfRule type="duplicateValues" dxfId="851" priority="17"/>
  </conditionalFormatting>
  <conditionalFormatting sqref="A9 P9">
    <cfRule type="duplicateValues" dxfId="850" priority="16"/>
  </conditionalFormatting>
  <conditionalFormatting sqref="A10 P10">
    <cfRule type="duplicateValues" dxfId="849" priority="15"/>
  </conditionalFormatting>
  <conditionalFormatting sqref="A11 P11">
    <cfRule type="duplicateValues" dxfId="848" priority="14"/>
  </conditionalFormatting>
  <conditionalFormatting sqref="A13:A14">
    <cfRule type="cellIs" dxfId="847" priority="27" operator="notEqual">
      <formula>100</formula>
    </cfRule>
  </conditionalFormatting>
  <conditionalFormatting sqref="A16:A17">
    <cfRule type="cellIs" dxfId="846" priority="25" operator="notEqual">
      <formula>100</formula>
    </cfRule>
  </conditionalFormatting>
  <conditionalFormatting sqref="A19 P19">
    <cfRule type="duplicateValues" dxfId="845" priority="12"/>
  </conditionalFormatting>
  <conditionalFormatting sqref="A20 P20">
    <cfRule type="duplicateValues" dxfId="844" priority="11"/>
  </conditionalFormatting>
  <conditionalFormatting sqref="A21 P21">
    <cfRule type="duplicateValues" dxfId="843" priority="10"/>
  </conditionalFormatting>
  <conditionalFormatting sqref="A22 P22">
    <cfRule type="duplicateValues" dxfId="842" priority="9"/>
  </conditionalFormatting>
  <conditionalFormatting sqref="A23 P23">
    <cfRule type="duplicateValues" dxfId="841" priority="8"/>
  </conditionalFormatting>
  <conditionalFormatting sqref="A24 P24">
    <cfRule type="duplicateValues" dxfId="840" priority="7"/>
  </conditionalFormatting>
  <conditionalFormatting sqref="A25 P25">
    <cfRule type="duplicateValues" dxfId="839" priority="6"/>
  </conditionalFormatting>
  <conditionalFormatting sqref="A26 P26">
    <cfRule type="duplicateValues" dxfId="838" priority="5"/>
  </conditionalFormatting>
  <conditionalFormatting sqref="A27 P27">
    <cfRule type="duplicateValues" dxfId="837" priority="4"/>
  </conditionalFormatting>
  <conditionalFormatting sqref="A28 P28">
    <cfRule type="duplicateValues" dxfId="836" priority="3"/>
  </conditionalFormatting>
  <conditionalFormatting sqref="C13:N13">
    <cfRule type="cellIs" dxfId="835" priority="2" operator="equal">
      <formula>0</formula>
    </cfRule>
  </conditionalFormatting>
  <conditionalFormatting sqref="C17:N17">
    <cfRule type="cellIs" dxfId="834" priority="1" operator="equal">
      <formula>0</formula>
    </cfRule>
  </conditionalFormatting>
  <conditionalFormatting sqref="P2 A2:A11">
    <cfRule type="duplicateValues" dxfId="833" priority="24"/>
  </conditionalFormatting>
  <conditionalFormatting sqref="P19 A19:A28">
    <cfRule type="duplicateValues" dxfId="832" priority="13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5C817-25D3-491A-A52D-232A26E34517}">
  <dimension ref="A1:P29"/>
  <sheetViews>
    <sheetView workbookViewId="0">
      <selection activeCell="J15" sqref="J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H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H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0</v>
      </c>
      <c r="F13" s="6">
        <f t="shared" si="1"/>
        <v>25</v>
      </c>
      <c r="G13" s="6">
        <f t="shared" si="1"/>
        <v>0</v>
      </c>
      <c r="H13" s="6">
        <f t="shared" si="1"/>
        <v>10</v>
      </c>
      <c r="I13" s="6">
        <f>SUM(I2:I11)</f>
        <v>5</v>
      </c>
      <c r="J13" s="6">
        <f>SUM(J2:J11)</f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0</v>
      </c>
      <c r="F14" s="10">
        <v>20</v>
      </c>
      <c r="G14" s="10">
        <v>10</v>
      </c>
      <c r="H14" s="10">
        <v>5</v>
      </c>
      <c r="I14" s="10">
        <v>4</v>
      </c>
      <c r="J14" s="10">
        <v>1</v>
      </c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101</v>
      </c>
      <c r="D15" s="4" t="s">
        <v>82</v>
      </c>
      <c r="E15" s="4" t="s">
        <v>12</v>
      </c>
      <c r="F15" s="4" t="s">
        <v>80</v>
      </c>
      <c r="G15" s="4" t="s">
        <v>40</v>
      </c>
      <c r="H15" s="4" t="s">
        <v>102</v>
      </c>
      <c r="I15" s="4" t="s">
        <v>103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0</v>
      </c>
      <c r="E16" s="12">
        <v>30</v>
      </c>
      <c r="F16" s="12">
        <v>20</v>
      </c>
      <c r="G16" s="12">
        <v>10</v>
      </c>
      <c r="H16" s="12">
        <v>5</v>
      </c>
      <c r="I16" s="12">
        <v>4</v>
      </c>
      <c r="J16" s="15">
        <v>1</v>
      </c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0</v>
      </c>
      <c r="F17" s="13">
        <f t="shared" si="2"/>
        <v>20</v>
      </c>
      <c r="G17" s="13">
        <f t="shared" si="2"/>
        <v>10</v>
      </c>
      <c r="H17" s="13">
        <f t="shared" si="2"/>
        <v>5</v>
      </c>
      <c r="I17" s="13">
        <f>SUM(I19:I28)</f>
        <v>5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F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I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I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831" priority="23"/>
  </conditionalFormatting>
  <conditionalFormatting sqref="A3 P3">
    <cfRule type="duplicateValues" dxfId="830" priority="22"/>
  </conditionalFormatting>
  <conditionalFormatting sqref="A4 P4">
    <cfRule type="duplicateValues" dxfId="829" priority="21"/>
  </conditionalFormatting>
  <conditionalFormatting sqref="A5 P5">
    <cfRule type="duplicateValues" dxfId="828" priority="20"/>
  </conditionalFormatting>
  <conditionalFormatting sqref="A6 P6">
    <cfRule type="duplicateValues" dxfId="827" priority="19"/>
  </conditionalFormatting>
  <conditionalFormatting sqref="A7 P7">
    <cfRule type="duplicateValues" dxfId="826" priority="18"/>
  </conditionalFormatting>
  <conditionalFormatting sqref="A8 P8">
    <cfRule type="duplicateValues" dxfId="825" priority="17"/>
  </conditionalFormatting>
  <conditionalFormatting sqref="A9 P9">
    <cfRule type="duplicateValues" dxfId="824" priority="16"/>
  </conditionalFormatting>
  <conditionalFormatting sqref="A10 P10">
    <cfRule type="duplicateValues" dxfId="823" priority="15"/>
  </conditionalFormatting>
  <conditionalFormatting sqref="A11 P11">
    <cfRule type="duplicateValues" dxfId="822" priority="14"/>
  </conditionalFormatting>
  <conditionalFormatting sqref="A13:A14">
    <cfRule type="cellIs" dxfId="821" priority="27" operator="notEqual">
      <formula>100</formula>
    </cfRule>
  </conditionalFormatting>
  <conditionalFormatting sqref="A16:A17">
    <cfRule type="cellIs" dxfId="820" priority="25" operator="notEqual">
      <formula>100</formula>
    </cfRule>
  </conditionalFormatting>
  <conditionalFormatting sqref="A19 P19">
    <cfRule type="duplicateValues" dxfId="819" priority="12"/>
  </conditionalFormatting>
  <conditionalFormatting sqref="A20 P20">
    <cfRule type="duplicateValues" dxfId="818" priority="11"/>
  </conditionalFormatting>
  <conditionalFormatting sqref="A21 P21">
    <cfRule type="duplicateValues" dxfId="817" priority="10"/>
  </conditionalFormatting>
  <conditionalFormatting sqref="A22 P22">
    <cfRule type="duplicateValues" dxfId="816" priority="9"/>
  </conditionalFormatting>
  <conditionalFormatting sqref="A23 P23">
    <cfRule type="duplicateValues" dxfId="815" priority="8"/>
  </conditionalFormatting>
  <conditionalFormatting sqref="A24 P24">
    <cfRule type="duplicateValues" dxfId="814" priority="7"/>
  </conditionalFormatting>
  <conditionalFormatting sqref="A25 P25">
    <cfRule type="duplicateValues" dxfId="813" priority="6"/>
  </conditionalFormatting>
  <conditionalFormatting sqref="A26 P26">
    <cfRule type="duplicateValues" dxfId="812" priority="5"/>
  </conditionalFormatting>
  <conditionalFormatting sqref="A27 P27">
    <cfRule type="duplicateValues" dxfId="811" priority="4"/>
  </conditionalFormatting>
  <conditionalFormatting sqref="A28 P28">
    <cfRule type="duplicateValues" dxfId="810" priority="3"/>
  </conditionalFormatting>
  <conditionalFormatting sqref="C13:N13">
    <cfRule type="cellIs" dxfId="809" priority="2" operator="equal">
      <formula>0</formula>
    </cfRule>
  </conditionalFormatting>
  <conditionalFormatting sqref="C17:N17">
    <cfRule type="cellIs" dxfId="808" priority="1" operator="equal">
      <formula>0</formula>
    </cfRule>
  </conditionalFormatting>
  <conditionalFormatting sqref="P2 A2:A11">
    <cfRule type="duplicateValues" dxfId="807" priority="24"/>
  </conditionalFormatting>
  <conditionalFormatting sqref="P19 A19:A28">
    <cfRule type="duplicateValues" dxfId="806" priority="13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253D7-6422-4B27-99E4-72FA8EF35423}">
  <dimension ref="A1:P29"/>
  <sheetViews>
    <sheetView workbookViewId="0">
      <selection activeCell="K15" sqref="K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H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0</v>
      </c>
      <c r="G13" s="6">
        <f t="shared" si="1"/>
        <v>10</v>
      </c>
      <c r="H13" s="6">
        <f t="shared" si="1"/>
        <v>5</v>
      </c>
      <c r="I13" s="6">
        <f>SUM(I2:I11)</f>
        <v>5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0</v>
      </c>
      <c r="G14" s="10">
        <v>10</v>
      </c>
      <c r="H14" s="10">
        <v>5</v>
      </c>
      <c r="I14" s="10">
        <v>5</v>
      </c>
      <c r="J14" s="10">
        <v>0</v>
      </c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105</v>
      </c>
      <c r="D15" s="4" t="s">
        <v>104</v>
      </c>
      <c r="E15" s="4" t="s">
        <v>92</v>
      </c>
      <c r="F15" s="4" t="s">
        <v>94</v>
      </c>
      <c r="G15" s="4" t="s">
        <v>106</v>
      </c>
      <c r="H15" s="4" t="s">
        <v>81</v>
      </c>
      <c r="I15" s="4" t="s">
        <v>107</v>
      </c>
      <c r="J15" s="4" t="s">
        <v>16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0</v>
      </c>
      <c r="F16" s="12">
        <v>20</v>
      </c>
      <c r="G16" s="12">
        <v>0</v>
      </c>
      <c r="H16" s="12">
        <v>5</v>
      </c>
      <c r="I16" s="12">
        <v>0</v>
      </c>
      <c r="J16" s="15">
        <v>15</v>
      </c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0</v>
      </c>
      <c r="F17" s="13">
        <f t="shared" si="2"/>
        <v>20</v>
      </c>
      <c r="G17" s="13">
        <f t="shared" si="2"/>
        <v>0</v>
      </c>
      <c r="H17" s="13">
        <f t="shared" si="2"/>
        <v>5</v>
      </c>
      <c r="I17" s="13">
        <f t="shared" si="2"/>
        <v>0</v>
      </c>
      <c r="J17" s="13">
        <f>SUM(J19:J28)</f>
        <v>15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F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I24" s="1"/>
      <c r="J24" s="1">
        <v>10</v>
      </c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805" priority="23"/>
  </conditionalFormatting>
  <conditionalFormatting sqref="A3 P3">
    <cfRule type="duplicateValues" dxfId="804" priority="22"/>
  </conditionalFormatting>
  <conditionalFormatting sqref="A4 P4">
    <cfRule type="duplicateValues" dxfId="803" priority="21"/>
  </conditionalFormatting>
  <conditionalFormatting sqref="A5 P5">
    <cfRule type="duplicateValues" dxfId="802" priority="20"/>
  </conditionalFormatting>
  <conditionalFormatting sqref="A6 P6">
    <cfRule type="duplicateValues" dxfId="801" priority="19"/>
  </conditionalFormatting>
  <conditionalFormatting sqref="A7 P7">
    <cfRule type="duplicateValues" dxfId="800" priority="18"/>
  </conditionalFormatting>
  <conditionalFormatting sqref="A8 P8">
    <cfRule type="duplicateValues" dxfId="799" priority="17"/>
  </conditionalFormatting>
  <conditionalFormatting sqref="A9 P9">
    <cfRule type="duplicateValues" dxfId="798" priority="16"/>
  </conditionalFormatting>
  <conditionalFormatting sqref="A10 P10">
    <cfRule type="duplicateValues" dxfId="797" priority="15"/>
  </conditionalFormatting>
  <conditionalFormatting sqref="A11 P11">
    <cfRule type="duplicateValues" dxfId="796" priority="14"/>
  </conditionalFormatting>
  <conditionalFormatting sqref="A13:A14">
    <cfRule type="cellIs" dxfId="795" priority="27" operator="notEqual">
      <formula>100</formula>
    </cfRule>
  </conditionalFormatting>
  <conditionalFormatting sqref="A16:A17">
    <cfRule type="cellIs" dxfId="794" priority="25" operator="notEqual">
      <formula>100</formula>
    </cfRule>
  </conditionalFormatting>
  <conditionalFormatting sqref="A19 P19">
    <cfRule type="duplicateValues" dxfId="793" priority="12"/>
  </conditionalFormatting>
  <conditionalFormatting sqref="A20 P20">
    <cfRule type="duplicateValues" dxfId="792" priority="11"/>
  </conditionalFormatting>
  <conditionalFormatting sqref="A21 P21">
    <cfRule type="duplicateValues" dxfId="791" priority="10"/>
  </conditionalFormatting>
  <conditionalFormatting sqref="A22 P22">
    <cfRule type="duplicateValues" dxfId="790" priority="9"/>
  </conditionalFormatting>
  <conditionalFormatting sqref="A23 P23">
    <cfRule type="duplicateValues" dxfId="789" priority="8"/>
  </conditionalFormatting>
  <conditionalFormatting sqref="A24 P24">
    <cfRule type="duplicateValues" dxfId="788" priority="7"/>
  </conditionalFormatting>
  <conditionalFormatting sqref="A25 P25">
    <cfRule type="duplicateValues" dxfId="787" priority="6"/>
  </conditionalFormatting>
  <conditionalFormatting sqref="A26 P26">
    <cfRule type="duplicateValues" dxfId="786" priority="5"/>
  </conditionalFormatting>
  <conditionalFormatting sqref="A27 P27">
    <cfRule type="duplicateValues" dxfId="785" priority="4"/>
  </conditionalFormatting>
  <conditionalFormatting sqref="A28 P28">
    <cfRule type="duplicateValues" dxfId="784" priority="3"/>
  </conditionalFormatting>
  <conditionalFormatting sqref="C13:N13">
    <cfRule type="cellIs" dxfId="783" priority="2" operator="equal">
      <formula>0</formula>
    </cfRule>
  </conditionalFormatting>
  <conditionalFormatting sqref="C17:N17">
    <cfRule type="cellIs" dxfId="782" priority="1" operator="equal">
      <formula>0</formula>
    </cfRule>
  </conditionalFormatting>
  <conditionalFormatting sqref="P2 A2:A11">
    <cfRule type="duplicateValues" dxfId="781" priority="24"/>
  </conditionalFormatting>
  <conditionalFormatting sqref="P19 A19:A28">
    <cfRule type="duplicateValues" dxfId="780" priority="13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50786-5FB1-4AD9-A1E4-12D6B6FF9624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40</v>
      </c>
      <c r="E13" s="6">
        <f t="shared" si="1"/>
        <v>0</v>
      </c>
      <c r="F13" s="6">
        <f t="shared" si="1"/>
        <v>20</v>
      </c>
      <c r="G13" s="6">
        <f>SUM(G2:G11)</f>
        <v>10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40</v>
      </c>
      <c r="E14" s="10">
        <v>0</v>
      </c>
      <c r="F14" s="10">
        <v>20</v>
      </c>
      <c r="G14" s="10">
        <v>10</v>
      </c>
      <c r="H14" s="10">
        <v>0</v>
      </c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108</v>
      </c>
      <c r="D15" s="4" t="s">
        <v>109</v>
      </c>
      <c r="E15" s="4" t="s">
        <v>37</v>
      </c>
      <c r="F15" s="4" t="s">
        <v>79</v>
      </c>
      <c r="G15" s="4" t="s">
        <v>110</v>
      </c>
      <c r="H15" s="4" t="s">
        <v>36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0</v>
      </c>
      <c r="E16" s="12">
        <v>30</v>
      </c>
      <c r="F16" s="12">
        <v>20</v>
      </c>
      <c r="G16" s="12">
        <v>10</v>
      </c>
      <c r="H16" s="12">
        <v>10</v>
      </c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0</v>
      </c>
      <c r="E17" s="13">
        <f t="shared" si="2"/>
        <v>30</v>
      </c>
      <c r="F17" s="13">
        <f t="shared" si="2"/>
        <v>20</v>
      </c>
      <c r="G17" s="13">
        <f>SUM(G19:G28)</f>
        <v>10</v>
      </c>
      <c r="H17" s="13">
        <f t="shared" si="2"/>
        <v>10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E20" s="1">
        <v>20</v>
      </c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F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SUM(C22:N22)</f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E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H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G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G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779" priority="23"/>
  </conditionalFormatting>
  <conditionalFormatting sqref="A3 P3">
    <cfRule type="duplicateValues" dxfId="778" priority="22"/>
  </conditionalFormatting>
  <conditionalFormatting sqref="A4 P4">
    <cfRule type="duplicateValues" dxfId="777" priority="21"/>
  </conditionalFormatting>
  <conditionalFormatting sqref="A5 P5">
    <cfRule type="duplicateValues" dxfId="776" priority="20"/>
  </conditionalFormatting>
  <conditionalFormatting sqref="A6 P6">
    <cfRule type="duplicateValues" dxfId="775" priority="19"/>
  </conditionalFormatting>
  <conditionalFormatting sqref="A7 P7">
    <cfRule type="duplicateValues" dxfId="774" priority="18"/>
  </conditionalFormatting>
  <conditionalFormatting sqref="A8 P8">
    <cfRule type="duplicateValues" dxfId="773" priority="17"/>
  </conditionalFormatting>
  <conditionalFormatting sqref="A9 P9">
    <cfRule type="duplicateValues" dxfId="772" priority="16"/>
  </conditionalFormatting>
  <conditionalFormatting sqref="A10 P10">
    <cfRule type="duplicateValues" dxfId="771" priority="15"/>
  </conditionalFormatting>
  <conditionalFormatting sqref="A11 P11">
    <cfRule type="duplicateValues" dxfId="770" priority="14"/>
  </conditionalFormatting>
  <conditionalFormatting sqref="A13:A14">
    <cfRule type="cellIs" dxfId="769" priority="27" operator="notEqual">
      <formula>100</formula>
    </cfRule>
  </conditionalFormatting>
  <conditionalFormatting sqref="A16:A17">
    <cfRule type="cellIs" dxfId="768" priority="25" operator="notEqual">
      <formula>100</formula>
    </cfRule>
  </conditionalFormatting>
  <conditionalFormatting sqref="A19 P19">
    <cfRule type="duplicateValues" dxfId="767" priority="12"/>
  </conditionalFormatting>
  <conditionalFormatting sqref="A20 P20">
    <cfRule type="duplicateValues" dxfId="766" priority="11"/>
  </conditionalFormatting>
  <conditionalFormatting sqref="A21 P21">
    <cfRule type="duplicateValues" dxfId="765" priority="10"/>
  </conditionalFormatting>
  <conditionalFormatting sqref="A22 P22">
    <cfRule type="duplicateValues" dxfId="764" priority="9"/>
  </conditionalFormatting>
  <conditionalFormatting sqref="A23 P23">
    <cfRule type="duplicateValues" dxfId="763" priority="8"/>
  </conditionalFormatting>
  <conditionalFormatting sqref="A24 P24">
    <cfRule type="duplicateValues" dxfId="762" priority="7"/>
  </conditionalFormatting>
  <conditionalFormatting sqref="A25 P25">
    <cfRule type="duplicateValues" dxfId="761" priority="6"/>
  </conditionalFormatting>
  <conditionalFormatting sqref="A26 P26">
    <cfRule type="duplicateValues" dxfId="760" priority="5"/>
  </conditionalFormatting>
  <conditionalFormatting sqref="A27 P27">
    <cfRule type="duplicateValues" dxfId="759" priority="4"/>
  </conditionalFormatting>
  <conditionalFormatting sqref="A28 P28">
    <cfRule type="duplicateValues" dxfId="758" priority="3"/>
  </conditionalFormatting>
  <conditionalFormatting sqref="C13:N13">
    <cfRule type="cellIs" dxfId="757" priority="2" operator="equal">
      <formula>0</formula>
    </cfRule>
  </conditionalFormatting>
  <conditionalFormatting sqref="C17:N17">
    <cfRule type="cellIs" dxfId="756" priority="1" operator="equal">
      <formula>0</formula>
    </cfRule>
  </conditionalFormatting>
  <conditionalFormatting sqref="P2 A2:A11">
    <cfRule type="duplicateValues" dxfId="755" priority="24"/>
  </conditionalFormatting>
  <conditionalFormatting sqref="P19 A19:A28">
    <cfRule type="duplicateValues" dxfId="754" priority="13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29EED-FF0D-472E-A5F1-0EB2CB6ECCEE}">
  <dimension ref="A1:P29"/>
  <sheetViews>
    <sheetView workbookViewId="0">
      <selection activeCell="J15" sqref="J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20</v>
      </c>
      <c r="E13" s="6">
        <f t="shared" si="1"/>
        <v>20</v>
      </c>
      <c r="F13" s="6">
        <f t="shared" si="1"/>
        <v>15</v>
      </c>
      <c r="G13" s="6">
        <f t="shared" si="1"/>
        <v>10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13</v>
      </c>
      <c r="D15" s="4" t="s">
        <v>38</v>
      </c>
      <c r="E15" s="4" t="s">
        <v>111</v>
      </c>
      <c r="F15" s="4" t="s">
        <v>71</v>
      </c>
      <c r="G15" s="4" t="s">
        <v>112</v>
      </c>
      <c r="H15" s="17" t="s">
        <v>72</v>
      </c>
      <c r="I15" s="17" t="s">
        <v>113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20</v>
      </c>
      <c r="F16" s="12">
        <v>15</v>
      </c>
      <c r="G16" s="12">
        <v>5</v>
      </c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20</v>
      </c>
      <c r="E17" s="13">
        <f t="shared" si="2"/>
        <v>20</v>
      </c>
      <c r="F17" s="13">
        <f t="shared" si="2"/>
        <v>15</v>
      </c>
      <c r="G17" s="13">
        <f>SUM(G19:G28)</f>
        <v>0</v>
      </c>
      <c r="H17" s="13">
        <f t="shared" si="2"/>
        <v>0</v>
      </c>
      <c r="I17" s="13">
        <f>SUM(I19:I28)</f>
        <v>15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SUM(C22:N22)</f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H23" s="3"/>
      <c r="I23" s="1">
        <v>10</v>
      </c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1">
        <v>5</v>
      </c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I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I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753" priority="23"/>
  </conditionalFormatting>
  <conditionalFormatting sqref="A3 P3">
    <cfRule type="duplicateValues" dxfId="752" priority="22"/>
  </conditionalFormatting>
  <conditionalFormatting sqref="A4 P4">
    <cfRule type="duplicateValues" dxfId="751" priority="21"/>
  </conditionalFormatting>
  <conditionalFormatting sqref="A5 P5">
    <cfRule type="duplicateValues" dxfId="750" priority="20"/>
  </conditionalFormatting>
  <conditionalFormatting sqref="A6 P6">
    <cfRule type="duplicateValues" dxfId="749" priority="19"/>
  </conditionalFormatting>
  <conditionalFormatting sqref="A7 P7">
    <cfRule type="duplicateValues" dxfId="748" priority="18"/>
  </conditionalFormatting>
  <conditionalFormatting sqref="A8 P8">
    <cfRule type="duplicateValues" dxfId="747" priority="17"/>
  </conditionalFormatting>
  <conditionalFormatting sqref="A9 P9">
    <cfRule type="duplicateValues" dxfId="746" priority="16"/>
  </conditionalFormatting>
  <conditionalFormatting sqref="A10 P10">
    <cfRule type="duplicateValues" dxfId="745" priority="15"/>
  </conditionalFormatting>
  <conditionalFormatting sqref="A11 P11">
    <cfRule type="duplicateValues" dxfId="744" priority="14"/>
  </conditionalFormatting>
  <conditionalFormatting sqref="A13:A14">
    <cfRule type="cellIs" dxfId="743" priority="27" operator="notEqual">
      <formula>100</formula>
    </cfRule>
  </conditionalFormatting>
  <conditionalFormatting sqref="A16:A17">
    <cfRule type="cellIs" dxfId="742" priority="25" operator="notEqual">
      <formula>100</formula>
    </cfRule>
  </conditionalFormatting>
  <conditionalFormatting sqref="A19 P19">
    <cfRule type="duplicateValues" dxfId="741" priority="12"/>
  </conditionalFormatting>
  <conditionalFormatting sqref="A20 P20">
    <cfRule type="duplicateValues" dxfId="740" priority="11"/>
  </conditionalFormatting>
  <conditionalFormatting sqref="A21 P21">
    <cfRule type="duplicateValues" dxfId="739" priority="10"/>
  </conditionalFormatting>
  <conditionalFormatting sqref="A22 P22">
    <cfRule type="duplicateValues" dxfId="738" priority="9"/>
  </conditionalFormatting>
  <conditionalFormatting sqref="A23 P23">
    <cfRule type="duplicateValues" dxfId="737" priority="8"/>
  </conditionalFormatting>
  <conditionalFormatting sqref="A24 P24">
    <cfRule type="duplicateValues" dxfId="736" priority="7"/>
  </conditionalFormatting>
  <conditionalFormatting sqref="A25 P25">
    <cfRule type="duplicateValues" dxfId="735" priority="6"/>
  </conditionalFormatting>
  <conditionalFormatting sqref="A26 P26">
    <cfRule type="duplicateValues" dxfId="734" priority="5"/>
  </conditionalFormatting>
  <conditionalFormatting sqref="A27 P27">
    <cfRule type="duplicateValues" dxfId="733" priority="4"/>
  </conditionalFormatting>
  <conditionalFormatting sqref="A28 P28">
    <cfRule type="duplicateValues" dxfId="732" priority="3"/>
  </conditionalFormatting>
  <conditionalFormatting sqref="C13:N13">
    <cfRule type="cellIs" dxfId="731" priority="2" operator="equal">
      <formula>0</formula>
    </cfRule>
  </conditionalFormatting>
  <conditionalFormatting sqref="C17:N17">
    <cfRule type="cellIs" dxfId="730" priority="1" operator="equal">
      <formula>0</formula>
    </cfRule>
  </conditionalFormatting>
  <conditionalFormatting sqref="P2 A2:A11">
    <cfRule type="duplicateValues" dxfId="729" priority="24"/>
  </conditionalFormatting>
  <conditionalFormatting sqref="P19 A19:A28">
    <cfRule type="duplicateValues" dxfId="728" priority="13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BC756-810A-4662-ABFF-3551646C8C5F}">
  <dimension ref="A1:P29"/>
  <sheetViews>
    <sheetView workbookViewId="0">
      <selection activeCell="H15" sqref="H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>SUM(C8:N8)</f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45</v>
      </c>
      <c r="D13" s="6">
        <f t="shared" si="1"/>
        <v>30</v>
      </c>
      <c r="E13" s="6">
        <f t="shared" si="1"/>
        <v>15</v>
      </c>
      <c r="F13" s="6">
        <f>SUM(F2:F11)</f>
        <v>10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50</v>
      </c>
      <c r="D14" s="10">
        <v>30</v>
      </c>
      <c r="E14" s="10">
        <v>15</v>
      </c>
      <c r="F14" s="10">
        <v>5</v>
      </c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13</v>
      </c>
      <c r="D15" s="4" t="s">
        <v>82</v>
      </c>
      <c r="E15" s="4" t="s">
        <v>0</v>
      </c>
      <c r="F15" s="4" t="s">
        <v>114</v>
      </c>
      <c r="G15" s="17" t="s">
        <v>113</v>
      </c>
    </row>
    <row r="16" spans="1:16" s="11" customFormat="1" ht="14.25" customHeight="1" x14ac:dyDescent="0.25">
      <c r="A16" s="14">
        <f>SUM(C16:N16)</f>
        <v>100</v>
      </c>
      <c r="B16" s="9"/>
      <c r="C16" s="12">
        <v>50</v>
      </c>
      <c r="D16" s="12">
        <v>0</v>
      </c>
      <c r="E16" s="12">
        <v>45</v>
      </c>
      <c r="F16" s="12">
        <v>5</v>
      </c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40</v>
      </c>
      <c r="D17" s="13">
        <f t="shared" si="2"/>
        <v>0</v>
      </c>
      <c r="E17" s="13">
        <f t="shared" si="2"/>
        <v>35</v>
      </c>
      <c r="F17" s="13">
        <f>SUM(F19:F28)</f>
        <v>10</v>
      </c>
      <c r="G17" s="13">
        <f t="shared" si="2"/>
        <v>15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SUM(C20:N20)</f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E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E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F25" s="3"/>
      <c r="G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727" priority="23"/>
  </conditionalFormatting>
  <conditionalFormatting sqref="A3 P3">
    <cfRule type="duplicateValues" dxfId="726" priority="22"/>
  </conditionalFormatting>
  <conditionalFormatting sqref="A4 P4">
    <cfRule type="duplicateValues" dxfId="725" priority="21"/>
  </conditionalFormatting>
  <conditionalFormatting sqref="A5 P5">
    <cfRule type="duplicateValues" dxfId="724" priority="20"/>
  </conditionalFormatting>
  <conditionalFormatting sqref="A6 P6">
    <cfRule type="duplicateValues" dxfId="723" priority="19"/>
  </conditionalFormatting>
  <conditionalFormatting sqref="A7 P7">
    <cfRule type="duplicateValues" dxfId="722" priority="18"/>
  </conditionalFormatting>
  <conditionalFormatting sqref="A8 P8">
    <cfRule type="duplicateValues" dxfId="721" priority="17"/>
  </conditionalFormatting>
  <conditionalFormatting sqref="A9 P9">
    <cfRule type="duplicateValues" dxfId="720" priority="16"/>
  </conditionalFormatting>
  <conditionalFormatting sqref="A10 P10">
    <cfRule type="duplicateValues" dxfId="719" priority="15"/>
  </conditionalFormatting>
  <conditionalFormatting sqref="A11 P11">
    <cfRule type="duplicateValues" dxfId="718" priority="14"/>
  </conditionalFormatting>
  <conditionalFormatting sqref="A13:A14">
    <cfRule type="cellIs" dxfId="717" priority="27" operator="notEqual">
      <formula>100</formula>
    </cfRule>
  </conditionalFormatting>
  <conditionalFormatting sqref="A16:A17">
    <cfRule type="cellIs" dxfId="716" priority="25" operator="notEqual">
      <formula>100</formula>
    </cfRule>
  </conditionalFormatting>
  <conditionalFormatting sqref="A19 P19">
    <cfRule type="duplicateValues" dxfId="715" priority="12"/>
  </conditionalFormatting>
  <conditionalFormatting sqref="A20 P20">
    <cfRule type="duplicateValues" dxfId="714" priority="11"/>
  </conditionalFormatting>
  <conditionalFormatting sqref="A21 P21">
    <cfRule type="duplicateValues" dxfId="713" priority="10"/>
  </conditionalFormatting>
  <conditionalFormatting sqref="A22 P22">
    <cfRule type="duplicateValues" dxfId="712" priority="9"/>
  </conditionalFormatting>
  <conditionalFormatting sqref="A23 P23">
    <cfRule type="duplicateValues" dxfId="711" priority="8"/>
  </conditionalFormatting>
  <conditionalFormatting sqref="A24 P24">
    <cfRule type="duplicateValues" dxfId="710" priority="7"/>
  </conditionalFormatting>
  <conditionalFormatting sqref="A25 P25">
    <cfRule type="duplicateValues" dxfId="709" priority="6"/>
  </conditionalFormatting>
  <conditionalFormatting sqref="A26 P26">
    <cfRule type="duplicateValues" dxfId="708" priority="5"/>
  </conditionalFormatting>
  <conditionalFormatting sqref="A27 P27">
    <cfRule type="duplicateValues" dxfId="707" priority="4"/>
  </conditionalFormatting>
  <conditionalFormatting sqref="A28 P28">
    <cfRule type="duplicateValues" dxfId="706" priority="3"/>
  </conditionalFormatting>
  <conditionalFormatting sqref="C13:N13">
    <cfRule type="cellIs" dxfId="705" priority="2" operator="equal">
      <formula>0</formula>
    </cfRule>
  </conditionalFormatting>
  <conditionalFormatting sqref="C17:N17">
    <cfRule type="cellIs" dxfId="704" priority="1" operator="equal">
      <formula>0</formula>
    </cfRule>
  </conditionalFormatting>
  <conditionalFormatting sqref="P2 A2:A11">
    <cfRule type="duplicateValues" dxfId="703" priority="24"/>
  </conditionalFormatting>
  <conditionalFormatting sqref="P19 A19:A28">
    <cfRule type="duplicateValues" dxfId="702" priority="13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54FE4-6575-415E-872C-1763BF8544F4}">
  <dimension ref="A1:P29"/>
  <sheetViews>
    <sheetView workbookViewId="0">
      <selection activeCell="G15" sqref="G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SUM(D3:N3)</f>
        <v>20</v>
      </c>
      <c r="B3" s="2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ref="A4:A11" si="0">SUM(C4:N4)</f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55</v>
      </c>
      <c r="D13" s="6">
        <f t="shared" si="1"/>
        <v>30</v>
      </c>
      <c r="E13" s="6">
        <f t="shared" si="1"/>
        <v>10</v>
      </c>
      <c r="F13" s="6">
        <f t="shared" si="1"/>
        <v>5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55</v>
      </c>
      <c r="D14" s="10">
        <v>30</v>
      </c>
      <c r="E14" s="10">
        <v>10</v>
      </c>
      <c r="F14" s="10">
        <v>5</v>
      </c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31</v>
      </c>
      <c r="E15" s="4" t="s">
        <v>12</v>
      </c>
      <c r="F15" s="4" t="s">
        <v>24</v>
      </c>
      <c r="G15" s="17" t="s">
        <v>23</v>
      </c>
    </row>
    <row r="16" spans="1:16" s="11" customFormat="1" ht="14.25" customHeight="1" x14ac:dyDescent="0.25">
      <c r="A16" s="14">
        <f>SUM(C16:N16)</f>
        <v>100</v>
      </c>
      <c r="B16" s="9"/>
      <c r="C16" s="12">
        <v>55</v>
      </c>
      <c r="D16" s="12">
        <v>30</v>
      </c>
      <c r="E16" s="12">
        <v>10</v>
      </c>
      <c r="F16" s="12">
        <v>5</v>
      </c>
      <c r="G16" s="12">
        <v>0</v>
      </c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55</v>
      </c>
      <c r="D17" s="13">
        <f t="shared" si="2"/>
        <v>30</v>
      </c>
      <c r="E17" s="13">
        <f t="shared" si="2"/>
        <v>0</v>
      </c>
      <c r="F17" s="13">
        <f t="shared" si="2"/>
        <v>5</v>
      </c>
      <c r="G17" s="13">
        <f t="shared" si="2"/>
        <v>10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ref="A21:A28" si="3">SUM(C21:N21)</f>
        <v>15</v>
      </c>
      <c r="B21" s="2"/>
      <c r="C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F25" s="3"/>
      <c r="G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701" priority="23"/>
  </conditionalFormatting>
  <conditionalFormatting sqref="A3 P3">
    <cfRule type="duplicateValues" dxfId="700" priority="22"/>
  </conditionalFormatting>
  <conditionalFormatting sqref="A4 P4">
    <cfRule type="duplicateValues" dxfId="699" priority="21"/>
  </conditionalFormatting>
  <conditionalFormatting sqref="A5 P5">
    <cfRule type="duplicateValues" dxfId="698" priority="20"/>
  </conditionalFormatting>
  <conditionalFormatting sqref="A6 P6">
    <cfRule type="duplicateValues" dxfId="697" priority="19"/>
  </conditionalFormatting>
  <conditionalFormatting sqref="A7 P7">
    <cfRule type="duplicateValues" dxfId="696" priority="18"/>
  </conditionalFormatting>
  <conditionalFormatting sqref="A8 P8">
    <cfRule type="duplicateValues" dxfId="695" priority="17"/>
  </conditionalFormatting>
  <conditionalFormatting sqref="A9 P9">
    <cfRule type="duplicateValues" dxfId="694" priority="16"/>
  </conditionalFormatting>
  <conditionalFormatting sqref="A10 P10">
    <cfRule type="duplicateValues" dxfId="693" priority="15"/>
  </conditionalFormatting>
  <conditionalFormatting sqref="A11 P11">
    <cfRule type="duplicateValues" dxfId="692" priority="14"/>
  </conditionalFormatting>
  <conditionalFormatting sqref="A13:A14">
    <cfRule type="cellIs" dxfId="691" priority="27" operator="notEqual">
      <formula>100</formula>
    </cfRule>
  </conditionalFormatting>
  <conditionalFormatting sqref="A16:A17">
    <cfRule type="cellIs" dxfId="690" priority="25" operator="notEqual">
      <formula>100</formula>
    </cfRule>
  </conditionalFormatting>
  <conditionalFormatting sqref="A19 P19">
    <cfRule type="duplicateValues" dxfId="689" priority="12"/>
  </conditionalFormatting>
  <conditionalFormatting sqref="A20 P20">
    <cfRule type="duplicateValues" dxfId="688" priority="11"/>
  </conditionalFormatting>
  <conditionalFormatting sqref="A21 P21">
    <cfRule type="duplicateValues" dxfId="687" priority="10"/>
  </conditionalFormatting>
  <conditionalFormatting sqref="A22 P22">
    <cfRule type="duplicateValues" dxfId="686" priority="9"/>
  </conditionalFormatting>
  <conditionalFormatting sqref="A23 P23">
    <cfRule type="duplicateValues" dxfId="685" priority="8"/>
  </conditionalFormatting>
  <conditionalFormatting sqref="A24 P24">
    <cfRule type="duplicateValues" dxfId="684" priority="7"/>
  </conditionalFormatting>
  <conditionalFormatting sqref="A25 P25">
    <cfRule type="duplicateValues" dxfId="683" priority="6"/>
  </conditionalFormatting>
  <conditionalFormatting sqref="A26 P26">
    <cfRule type="duplicateValues" dxfId="682" priority="5"/>
  </conditionalFormatting>
  <conditionalFormatting sqref="A27 P27">
    <cfRule type="duplicateValues" dxfId="681" priority="4"/>
  </conditionalFormatting>
  <conditionalFormatting sqref="A28 P28">
    <cfRule type="duplicateValues" dxfId="680" priority="3"/>
  </conditionalFormatting>
  <conditionalFormatting sqref="C13:N13">
    <cfRule type="cellIs" dxfId="679" priority="2" operator="equal">
      <formula>0</formula>
    </cfRule>
  </conditionalFormatting>
  <conditionalFormatting sqref="C17:N17">
    <cfRule type="cellIs" dxfId="678" priority="1" operator="equal">
      <formula>0</formula>
    </cfRule>
  </conditionalFormatting>
  <conditionalFormatting sqref="P2 A2:A11">
    <cfRule type="duplicateValues" dxfId="677" priority="24"/>
  </conditionalFormatting>
  <conditionalFormatting sqref="P19 A19:A28">
    <cfRule type="duplicateValues" dxfId="676" priority="13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122E7-8000-4BF9-8B60-C84052254D01}">
  <dimension ref="A1:P29"/>
  <sheetViews>
    <sheetView workbookViewId="0">
      <selection activeCell="G9" sqref="G9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SUM(D3:N3)</f>
        <v>20</v>
      </c>
      <c r="B3" s="2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>SUM(C4:N4)</f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>SUM(D6:N6)</f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>SUM(D7:N7)</f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>SUM(C8:N8)</f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SUM(C9:N9)</f>
        <v>5</v>
      </c>
      <c r="B9" s="2"/>
      <c r="C9" s="3"/>
      <c r="D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>SUM(C10:N10)</f>
        <v>4</v>
      </c>
      <c r="B10" s="2"/>
      <c r="C10" s="3"/>
      <c r="D10" s="3"/>
      <c r="E10" s="1">
        <v>4</v>
      </c>
      <c r="J10" s="3"/>
      <c r="P10" s="4">
        <v>4</v>
      </c>
    </row>
    <row r="11" spans="1:16" ht="19.5" customHeight="1" x14ac:dyDescent="0.25">
      <c r="A11" s="1">
        <f>SUM(C11:N11)</f>
        <v>1</v>
      </c>
      <c r="B11" s="2"/>
      <c r="C11" s="3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0">SUM(C2:C11)</f>
        <v>35</v>
      </c>
      <c r="D13" s="6">
        <f t="shared" si="0"/>
        <v>50</v>
      </c>
      <c r="E13" s="6">
        <f>SUM(E2:E11)</f>
        <v>5</v>
      </c>
      <c r="F13" s="6">
        <f t="shared" si="0"/>
        <v>5</v>
      </c>
      <c r="G13" s="6">
        <f>SUM(G2:G11)</f>
        <v>5</v>
      </c>
      <c r="H13" s="6">
        <f t="shared" si="0"/>
        <v>0</v>
      </c>
      <c r="I13" s="6">
        <f t="shared" si="0"/>
        <v>0</v>
      </c>
      <c r="J13" s="6">
        <f t="shared" si="0"/>
        <v>0</v>
      </c>
      <c r="K13" s="6">
        <f t="shared" si="0"/>
        <v>0</v>
      </c>
      <c r="L13" s="6">
        <f t="shared" si="0"/>
        <v>0</v>
      </c>
      <c r="M13" s="6">
        <f t="shared" si="0"/>
        <v>0</v>
      </c>
      <c r="N13" s="6">
        <f t="shared" si="0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35</v>
      </c>
      <c r="D14" s="10">
        <v>50</v>
      </c>
      <c r="E14" s="10">
        <v>5</v>
      </c>
      <c r="F14" s="10">
        <v>10</v>
      </c>
      <c r="G14" s="10" t="s">
        <v>115</v>
      </c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31</v>
      </c>
      <c r="E15" s="4" t="s">
        <v>12</v>
      </c>
      <c r="F15" s="4" t="s">
        <v>32</v>
      </c>
      <c r="G15" s="17" t="s">
        <v>33</v>
      </c>
      <c r="H15" s="17" t="s">
        <v>23</v>
      </c>
    </row>
    <row r="16" spans="1:16" s="11" customFormat="1" ht="14.25" customHeight="1" x14ac:dyDescent="0.25">
      <c r="A16" s="14">
        <f>SUM(C16:N16)</f>
        <v>100</v>
      </c>
      <c r="B16" s="9"/>
      <c r="C16" s="12">
        <v>40</v>
      </c>
      <c r="D16" s="12">
        <v>50</v>
      </c>
      <c r="E16" s="12">
        <v>5</v>
      </c>
      <c r="F16" s="12">
        <v>5</v>
      </c>
      <c r="G16" s="12" t="s">
        <v>115</v>
      </c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1">SUM(C19:C28)</f>
        <v>35</v>
      </c>
      <c r="D17" s="13">
        <f t="shared" si="1"/>
        <v>50</v>
      </c>
      <c r="E17" s="13">
        <f t="shared" si="1"/>
        <v>0</v>
      </c>
      <c r="F17" s="13">
        <f t="shared" si="1"/>
        <v>5</v>
      </c>
      <c r="G17" s="13">
        <f>SUM(G19:G28)</f>
        <v>5</v>
      </c>
      <c r="H17" s="13">
        <f>SUM(H19:H28)</f>
        <v>5</v>
      </c>
      <c r="I17" s="13">
        <f t="shared" si="1"/>
        <v>0</v>
      </c>
      <c r="J17" s="13">
        <f t="shared" si="1"/>
        <v>0</v>
      </c>
      <c r="K17" s="13">
        <f t="shared" si="1"/>
        <v>0</v>
      </c>
      <c r="L17" s="13">
        <f t="shared" si="1"/>
        <v>0</v>
      </c>
      <c r="M17" s="13">
        <f t="shared" si="1"/>
        <v>0</v>
      </c>
      <c r="N17" s="13">
        <f t="shared" si="1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SUM(C19:N19)</f>
        <v>20</v>
      </c>
      <c r="B19" s="2"/>
      <c r="C19" s="3">
        <v>20</v>
      </c>
      <c r="E19" s="3"/>
      <c r="F19" s="3"/>
      <c r="G19" s="3" t="s">
        <v>115</v>
      </c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15</v>
      </c>
      <c r="B21" s="2"/>
      <c r="C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SUM(C22:N22)</f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>SUM(D23:N23)</f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SUM(C25:N25)</f>
        <v>5</v>
      </c>
      <c r="B25" s="2"/>
      <c r="C25" s="3"/>
      <c r="D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SUM(C26:N26)</f>
        <v>5</v>
      </c>
      <c r="B26" s="2"/>
      <c r="C26" s="3"/>
      <c r="D26" s="3"/>
      <c r="E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SUM(C27:N27)</f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>SUM(C28:N28)</f>
        <v>1</v>
      </c>
      <c r="B28" s="2"/>
      <c r="C28" s="3"/>
      <c r="D28" s="3"/>
      <c r="E28" s="3"/>
      <c r="H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2">SUM(C30:C39)</f>
        <v>0</v>
      </c>
      <c r="D29" s="2">
        <f t="shared" si="2"/>
        <v>0</v>
      </c>
      <c r="E29" s="2">
        <f t="shared" si="2"/>
        <v>0</v>
      </c>
      <c r="F29" s="2">
        <f t="shared" si="2"/>
        <v>0</v>
      </c>
      <c r="G29" s="2">
        <f t="shared" si="2"/>
        <v>0</v>
      </c>
      <c r="H29" s="2">
        <f t="shared" si="2"/>
        <v>0</v>
      </c>
      <c r="I29" s="2">
        <f t="shared" si="2"/>
        <v>0</v>
      </c>
      <c r="J29" s="2">
        <f t="shared" si="2"/>
        <v>0</v>
      </c>
      <c r="K29" s="2">
        <f t="shared" si="2"/>
        <v>0</v>
      </c>
      <c r="L29" s="2">
        <f t="shared" si="2"/>
        <v>0</v>
      </c>
      <c r="M29" s="2">
        <f t="shared" si="2"/>
        <v>0</v>
      </c>
      <c r="N29" s="2">
        <f t="shared" si="2"/>
        <v>0</v>
      </c>
    </row>
  </sheetData>
  <conditionalFormatting sqref="A2 P2">
    <cfRule type="duplicateValues" dxfId="675" priority="23"/>
  </conditionalFormatting>
  <conditionalFormatting sqref="A3 P3">
    <cfRule type="duplicateValues" dxfId="674" priority="22"/>
  </conditionalFormatting>
  <conditionalFormatting sqref="A4 P4">
    <cfRule type="duplicateValues" dxfId="673" priority="21"/>
  </conditionalFormatting>
  <conditionalFormatting sqref="A5 P5">
    <cfRule type="duplicateValues" dxfId="672" priority="20"/>
  </conditionalFormatting>
  <conditionalFormatting sqref="A6 P6">
    <cfRule type="duplicateValues" dxfId="671" priority="19"/>
  </conditionalFormatting>
  <conditionalFormatting sqref="A7 P7">
    <cfRule type="duplicateValues" dxfId="670" priority="18"/>
  </conditionalFormatting>
  <conditionalFormatting sqref="A8 P8">
    <cfRule type="duplicateValues" dxfId="669" priority="17"/>
  </conditionalFormatting>
  <conditionalFormatting sqref="A9 P9">
    <cfRule type="duplicateValues" dxfId="668" priority="16"/>
  </conditionalFormatting>
  <conditionalFormatting sqref="A10 P10">
    <cfRule type="duplicateValues" dxfId="667" priority="15"/>
  </conditionalFormatting>
  <conditionalFormatting sqref="A11 P11">
    <cfRule type="duplicateValues" dxfId="666" priority="14"/>
  </conditionalFormatting>
  <conditionalFormatting sqref="A13:A14">
    <cfRule type="cellIs" dxfId="665" priority="27" operator="notEqual">
      <formula>100</formula>
    </cfRule>
  </conditionalFormatting>
  <conditionalFormatting sqref="A16:A17">
    <cfRule type="cellIs" dxfId="664" priority="25" operator="notEqual">
      <formula>100</formula>
    </cfRule>
  </conditionalFormatting>
  <conditionalFormatting sqref="A19 P19">
    <cfRule type="duplicateValues" dxfId="663" priority="12"/>
  </conditionalFormatting>
  <conditionalFormatting sqref="A20 P20">
    <cfRule type="duplicateValues" dxfId="662" priority="11"/>
  </conditionalFormatting>
  <conditionalFormatting sqref="A21 P21">
    <cfRule type="duplicateValues" dxfId="661" priority="10"/>
  </conditionalFormatting>
  <conditionalFormatting sqref="A22 P22">
    <cfRule type="duplicateValues" dxfId="660" priority="9"/>
  </conditionalFormatting>
  <conditionalFormatting sqref="A23 P23">
    <cfRule type="duplicateValues" dxfId="659" priority="8"/>
  </conditionalFormatting>
  <conditionalFormatting sqref="A24 P24">
    <cfRule type="duplicateValues" dxfId="658" priority="7"/>
  </conditionalFormatting>
  <conditionalFormatting sqref="A25 P25">
    <cfRule type="duplicateValues" dxfId="657" priority="6"/>
  </conditionalFormatting>
  <conditionalFormatting sqref="A26 P26">
    <cfRule type="duplicateValues" dxfId="656" priority="5"/>
  </conditionalFormatting>
  <conditionalFormatting sqref="A27 P27">
    <cfRule type="duplicateValues" dxfId="655" priority="4"/>
  </conditionalFormatting>
  <conditionalFormatting sqref="A28 P28">
    <cfRule type="duplicateValues" dxfId="654" priority="3"/>
  </conditionalFormatting>
  <conditionalFormatting sqref="C13:N13">
    <cfRule type="cellIs" dxfId="653" priority="2" operator="equal">
      <formula>0</formula>
    </cfRule>
  </conditionalFormatting>
  <conditionalFormatting sqref="C17:N17">
    <cfRule type="cellIs" dxfId="652" priority="1" operator="equal">
      <formula>0</formula>
    </cfRule>
  </conditionalFormatting>
  <conditionalFormatting sqref="P2 A2:A11">
    <cfRule type="duplicateValues" dxfId="651" priority="24"/>
  </conditionalFormatting>
  <conditionalFormatting sqref="P19 A19:A28">
    <cfRule type="duplicateValues" dxfId="650" priority="13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42D2B-2837-47F9-BF45-13ED890B44F4}">
  <dimension ref="A1:P29"/>
  <sheetViews>
    <sheetView workbookViewId="0">
      <selection activeCell="J15" sqref="J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H4" s="3"/>
      <c r="I4" s="3"/>
      <c r="J4" s="1">
        <v>15</v>
      </c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1">
        <v>10</v>
      </c>
      <c r="I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H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5</v>
      </c>
      <c r="F13" s="6">
        <f t="shared" si="1"/>
        <v>0</v>
      </c>
      <c r="G13" s="6">
        <f t="shared" si="1"/>
        <v>10</v>
      </c>
      <c r="H13" s="6">
        <f t="shared" si="1"/>
        <v>5</v>
      </c>
      <c r="I13" s="6">
        <f t="shared" si="1"/>
        <v>5</v>
      </c>
      <c r="J13" s="6">
        <f t="shared" si="1"/>
        <v>15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0</v>
      </c>
      <c r="G14" s="10">
        <v>10</v>
      </c>
      <c r="H14" s="10">
        <v>5</v>
      </c>
      <c r="I14" s="10">
        <v>5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12</v>
      </c>
      <c r="E15" s="4" t="s">
        <v>19</v>
      </c>
      <c r="F15" s="4" t="s">
        <v>40</v>
      </c>
      <c r="G15" s="4" t="s">
        <v>29</v>
      </c>
      <c r="H15" s="4" t="s">
        <v>13</v>
      </c>
      <c r="I15" s="4" t="s">
        <v>24</v>
      </c>
      <c r="J15" s="17" t="s">
        <v>33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0</v>
      </c>
      <c r="F16" s="12">
        <v>20</v>
      </c>
      <c r="G16" s="12">
        <v>10</v>
      </c>
      <c r="H16" s="12">
        <v>5</v>
      </c>
      <c r="I16" s="12">
        <v>5</v>
      </c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0</v>
      </c>
      <c r="F17" s="13">
        <f t="shared" si="2"/>
        <v>20</v>
      </c>
      <c r="G17" s="13">
        <f t="shared" si="2"/>
        <v>10</v>
      </c>
      <c r="H17" s="13">
        <f t="shared" si="2"/>
        <v>5</v>
      </c>
      <c r="I17" s="13">
        <f t="shared" si="2"/>
        <v>5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F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I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I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649" priority="23"/>
  </conditionalFormatting>
  <conditionalFormatting sqref="A3 P3">
    <cfRule type="duplicateValues" dxfId="648" priority="22"/>
  </conditionalFormatting>
  <conditionalFormatting sqref="A4 P4">
    <cfRule type="duplicateValues" dxfId="647" priority="21"/>
  </conditionalFormatting>
  <conditionalFormatting sqref="A5 P5">
    <cfRule type="duplicateValues" dxfId="646" priority="20"/>
  </conditionalFormatting>
  <conditionalFormatting sqref="A6 P6">
    <cfRule type="duplicateValues" dxfId="645" priority="19"/>
  </conditionalFormatting>
  <conditionalFormatting sqref="A7 P7">
    <cfRule type="duplicateValues" dxfId="644" priority="18"/>
  </conditionalFormatting>
  <conditionalFormatting sqref="A8 P8">
    <cfRule type="duplicateValues" dxfId="643" priority="17"/>
  </conditionalFormatting>
  <conditionalFormatting sqref="A9 P9">
    <cfRule type="duplicateValues" dxfId="642" priority="16"/>
  </conditionalFormatting>
  <conditionalFormatting sqref="A10 P10">
    <cfRule type="duplicateValues" dxfId="641" priority="15"/>
  </conditionalFormatting>
  <conditionalFormatting sqref="A11 P11">
    <cfRule type="duplicateValues" dxfId="640" priority="14"/>
  </conditionalFormatting>
  <conditionalFormatting sqref="A13:A14">
    <cfRule type="cellIs" dxfId="639" priority="27" operator="notEqual">
      <formula>100</formula>
    </cfRule>
  </conditionalFormatting>
  <conditionalFormatting sqref="A16:A17">
    <cfRule type="cellIs" dxfId="638" priority="25" operator="notEqual">
      <formula>100</formula>
    </cfRule>
  </conditionalFormatting>
  <conditionalFormatting sqref="A19 P19">
    <cfRule type="duplicateValues" dxfId="637" priority="12"/>
  </conditionalFormatting>
  <conditionalFormatting sqref="A20 P20">
    <cfRule type="duplicateValues" dxfId="636" priority="11"/>
  </conditionalFormatting>
  <conditionalFormatting sqref="A21 P21">
    <cfRule type="duplicateValues" dxfId="635" priority="10"/>
  </conditionalFormatting>
  <conditionalFormatting sqref="A22 P22">
    <cfRule type="duplicateValues" dxfId="634" priority="9"/>
  </conditionalFormatting>
  <conditionalFormatting sqref="A23 P23">
    <cfRule type="duplicateValues" dxfId="633" priority="8"/>
  </conditionalFormatting>
  <conditionalFormatting sqref="A24 P24">
    <cfRule type="duplicateValues" dxfId="632" priority="7"/>
  </conditionalFormatting>
  <conditionalFormatting sqref="A25 P25">
    <cfRule type="duplicateValues" dxfId="631" priority="6"/>
  </conditionalFormatting>
  <conditionalFormatting sqref="A26 P26">
    <cfRule type="duplicateValues" dxfId="630" priority="5"/>
  </conditionalFormatting>
  <conditionalFormatting sqref="A27 P27">
    <cfRule type="duplicateValues" dxfId="629" priority="4"/>
  </conditionalFormatting>
  <conditionalFormatting sqref="A28 P28">
    <cfRule type="duplicateValues" dxfId="628" priority="3"/>
  </conditionalFormatting>
  <conditionalFormatting sqref="C13:N13">
    <cfRule type="cellIs" dxfId="627" priority="2" operator="equal">
      <formula>0</formula>
    </cfRule>
  </conditionalFormatting>
  <conditionalFormatting sqref="C17:N17">
    <cfRule type="cellIs" dxfId="626" priority="1" operator="equal">
      <formula>0</formula>
    </cfRule>
  </conditionalFormatting>
  <conditionalFormatting sqref="P2 A2:A11">
    <cfRule type="duplicateValues" dxfId="625" priority="24"/>
  </conditionalFormatting>
  <conditionalFormatting sqref="P19 A19:A28">
    <cfRule type="duplicateValues" dxfId="624" priority="13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14EF-D573-41C8-8A45-39566F9C0C56}">
  <dimension ref="A1:P29"/>
  <sheetViews>
    <sheetView workbookViewId="0">
      <selection activeCell="J15" sqref="J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H4" s="3"/>
      <c r="I4" s="3"/>
      <c r="J4" s="1">
        <v>15</v>
      </c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H7" s="1">
        <v>10</v>
      </c>
      <c r="I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5</v>
      </c>
      <c r="F13" s="6">
        <f t="shared" si="1"/>
        <v>0</v>
      </c>
      <c r="G13" s="6">
        <f t="shared" si="1"/>
        <v>5</v>
      </c>
      <c r="H13" s="6">
        <f t="shared" si="1"/>
        <v>10</v>
      </c>
      <c r="I13" s="6">
        <f t="shared" si="1"/>
        <v>5</v>
      </c>
      <c r="J13" s="6">
        <f t="shared" si="1"/>
        <v>15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0</v>
      </c>
      <c r="G14" s="10">
        <v>10</v>
      </c>
      <c r="H14" s="10">
        <v>5</v>
      </c>
      <c r="I14" s="10">
        <v>5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13</v>
      </c>
      <c r="D15" s="4" t="s">
        <v>0</v>
      </c>
      <c r="E15" s="4" t="s">
        <v>19</v>
      </c>
      <c r="F15" s="4" t="s">
        <v>40</v>
      </c>
      <c r="G15" s="4" t="s">
        <v>24</v>
      </c>
      <c r="H15" s="4" t="s">
        <v>12</v>
      </c>
      <c r="I15" s="4" t="s">
        <v>29</v>
      </c>
      <c r="J15" s="17" t="s">
        <v>33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0</v>
      </c>
      <c r="F16" s="12">
        <v>5</v>
      </c>
      <c r="G16" s="12">
        <v>20</v>
      </c>
      <c r="H16" s="12">
        <v>10</v>
      </c>
      <c r="I16" s="12">
        <v>5</v>
      </c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0</v>
      </c>
      <c r="F17" s="13">
        <f t="shared" si="2"/>
        <v>10</v>
      </c>
      <c r="G17" s="13">
        <f t="shared" si="2"/>
        <v>20</v>
      </c>
      <c r="H17" s="13">
        <f t="shared" si="2"/>
        <v>5</v>
      </c>
      <c r="I17" s="13">
        <f t="shared" si="2"/>
        <v>5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G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G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I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I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623" priority="23"/>
  </conditionalFormatting>
  <conditionalFormatting sqref="A3 P3">
    <cfRule type="duplicateValues" dxfId="622" priority="22"/>
  </conditionalFormatting>
  <conditionalFormatting sqref="A4 P4">
    <cfRule type="duplicateValues" dxfId="621" priority="21"/>
  </conditionalFormatting>
  <conditionalFormatting sqref="A5 P5">
    <cfRule type="duplicateValues" dxfId="620" priority="20"/>
  </conditionalFormatting>
  <conditionalFormatting sqref="A6 P6">
    <cfRule type="duplicateValues" dxfId="619" priority="19"/>
  </conditionalFormatting>
  <conditionalFormatting sqref="A7 P7">
    <cfRule type="duplicateValues" dxfId="618" priority="18"/>
  </conditionalFormatting>
  <conditionalFormatting sqref="A8 P8">
    <cfRule type="duplicateValues" dxfId="617" priority="17"/>
  </conditionalFormatting>
  <conditionalFormatting sqref="A9 P9">
    <cfRule type="duplicateValues" dxfId="616" priority="16"/>
  </conditionalFormatting>
  <conditionalFormatting sqref="A10 P10">
    <cfRule type="duplicateValues" dxfId="615" priority="15"/>
  </conditionalFormatting>
  <conditionalFormatting sqref="A11 P11">
    <cfRule type="duplicateValues" dxfId="614" priority="14"/>
  </conditionalFormatting>
  <conditionalFormatting sqref="A13:A14">
    <cfRule type="cellIs" dxfId="613" priority="27" operator="notEqual">
      <formula>100</formula>
    </cfRule>
  </conditionalFormatting>
  <conditionalFormatting sqref="A16:A17">
    <cfRule type="cellIs" dxfId="612" priority="25" operator="notEqual">
      <formula>100</formula>
    </cfRule>
  </conditionalFormatting>
  <conditionalFormatting sqref="A19 P19">
    <cfRule type="duplicateValues" dxfId="611" priority="12"/>
  </conditionalFormatting>
  <conditionalFormatting sqref="A20 P20">
    <cfRule type="duplicateValues" dxfId="610" priority="11"/>
  </conditionalFormatting>
  <conditionalFormatting sqref="A21 P21">
    <cfRule type="duplicateValues" dxfId="609" priority="10"/>
  </conditionalFormatting>
  <conditionalFormatting sqref="A22 P22">
    <cfRule type="duplicateValues" dxfId="608" priority="9"/>
  </conditionalFormatting>
  <conditionalFormatting sqref="A23 P23">
    <cfRule type="duplicateValues" dxfId="607" priority="8"/>
  </conditionalFormatting>
  <conditionalFormatting sqref="A24 P24">
    <cfRule type="duplicateValues" dxfId="606" priority="7"/>
  </conditionalFormatting>
  <conditionalFormatting sqref="A25 P25">
    <cfRule type="duplicateValues" dxfId="605" priority="6"/>
  </conditionalFormatting>
  <conditionalFormatting sqref="A26 P26">
    <cfRule type="duplicateValues" dxfId="604" priority="5"/>
  </conditionalFormatting>
  <conditionalFormatting sqref="A27 P27">
    <cfRule type="duplicateValues" dxfId="603" priority="4"/>
  </conditionalFormatting>
  <conditionalFormatting sqref="A28 P28">
    <cfRule type="duplicateValues" dxfId="602" priority="3"/>
  </conditionalFormatting>
  <conditionalFormatting sqref="C13:N13">
    <cfRule type="cellIs" dxfId="601" priority="2" operator="equal">
      <formula>0</formula>
    </cfRule>
  </conditionalFormatting>
  <conditionalFormatting sqref="C17:N17">
    <cfRule type="cellIs" dxfId="600" priority="1" operator="equal">
      <formula>0</formula>
    </cfRule>
  </conditionalFormatting>
  <conditionalFormatting sqref="P2 A2:A11">
    <cfRule type="duplicateValues" dxfId="599" priority="24"/>
  </conditionalFormatting>
  <conditionalFormatting sqref="P19 A19:A28">
    <cfRule type="duplicateValues" dxfId="598" priority="13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06D83-516F-4D9E-BBB3-B978D8EC64BB}">
  <dimension ref="A1:P29"/>
  <sheetViews>
    <sheetView workbookViewId="0">
      <selection activeCell="J15" sqref="J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3"/>
      <c r="F3" s="3"/>
      <c r="G3" s="3"/>
      <c r="H3" s="1">
        <v>20</v>
      </c>
      <c r="I3" s="3"/>
      <c r="L3" s="3"/>
      <c r="M3" s="3"/>
      <c r="N3" s="3"/>
      <c r="P3" s="4">
        <v>20</v>
      </c>
    </row>
    <row r="4" spans="1:16" ht="19.5" customHeight="1" x14ac:dyDescent="0.25">
      <c r="A4" s="1">
        <f>SUM(C4:N4)</f>
        <v>15</v>
      </c>
      <c r="B4" s="2"/>
      <c r="C4" s="3"/>
      <c r="I4" s="3"/>
      <c r="J4" s="1">
        <v>15</v>
      </c>
      <c r="L4" s="3"/>
      <c r="M4" s="3"/>
      <c r="N4" s="3"/>
      <c r="P4" s="4">
        <v>15</v>
      </c>
    </row>
    <row r="5" spans="1:16" ht="19.5" customHeight="1" x14ac:dyDescent="0.25">
      <c r="A5" s="1">
        <f>SUM(E5:N5)</f>
        <v>0</v>
      </c>
      <c r="B5" s="2"/>
      <c r="C5" s="1">
        <v>10</v>
      </c>
      <c r="I5" s="3"/>
      <c r="L5" s="3"/>
      <c r="M5" s="3"/>
      <c r="N5" s="3"/>
      <c r="P5" s="4">
        <v>10</v>
      </c>
    </row>
    <row r="6" spans="1:16" ht="19.5" customHeight="1" x14ac:dyDescent="0.25">
      <c r="A6" s="1">
        <f>SUM(C6:N6)</f>
        <v>10</v>
      </c>
      <c r="B6" s="2"/>
      <c r="G6" s="1">
        <v>10</v>
      </c>
      <c r="H6" s="3"/>
      <c r="I6" s="3"/>
      <c r="L6" s="3"/>
      <c r="M6" s="3"/>
      <c r="N6" s="3"/>
      <c r="P6" s="4">
        <v>10</v>
      </c>
    </row>
    <row r="7" spans="1:16" ht="19.5" customHeight="1" x14ac:dyDescent="0.25">
      <c r="A7" s="1">
        <f>SUM(C7:N7)</f>
        <v>10</v>
      </c>
      <c r="B7" s="2"/>
      <c r="E7" s="1">
        <v>10</v>
      </c>
      <c r="I7" s="1"/>
      <c r="L7" s="3"/>
      <c r="M7" s="3"/>
      <c r="N7" s="3"/>
      <c r="P7" s="4">
        <v>10</v>
      </c>
    </row>
    <row r="8" spans="1:16" ht="19.5" customHeight="1" x14ac:dyDescent="0.25">
      <c r="A8" s="1">
        <f>SUM(D8:N8)</f>
        <v>5</v>
      </c>
      <c r="B8" s="2"/>
      <c r="D8" s="1">
        <v>5</v>
      </c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5</v>
      </c>
      <c r="B9" s="2"/>
      <c r="D9" s="1">
        <v>5</v>
      </c>
      <c r="L9" s="3"/>
      <c r="M9" s="3"/>
      <c r="N9" s="3"/>
      <c r="P9" s="4">
        <v>5</v>
      </c>
    </row>
    <row r="10" spans="1:16" ht="19.5" customHeight="1" x14ac:dyDescent="0.25">
      <c r="A10" s="1">
        <f>SUM(C10:N10)</f>
        <v>4</v>
      </c>
      <c r="B10" s="2"/>
      <c r="C10" s="3"/>
      <c r="F10" s="1">
        <v>4</v>
      </c>
      <c r="P10" s="4">
        <v>4</v>
      </c>
    </row>
    <row r="11" spans="1:16" ht="19.5" customHeight="1" x14ac:dyDescent="0.25">
      <c r="A11" s="1">
        <f>SUM(C11:N11)</f>
        <v>1</v>
      </c>
      <c r="B11" s="2"/>
      <c r="C11" s="3"/>
      <c r="F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0">SUM(C2:C11)</f>
        <v>30</v>
      </c>
      <c r="D13" s="6">
        <f t="shared" si="0"/>
        <v>10</v>
      </c>
      <c r="E13" s="6">
        <f t="shared" si="0"/>
        <v>10</v>
      </c>
      <c r="F13" s="6">
        <f t="shared" si="0"/>
        <v>5</v>
      </c>
      <c r="G13" s="6">
        <f t="shared" si="0"/>
        <v>10</v>
      </c>
      <c r="H13" s="6">
        <f t="shared" si="0"/>
        <v>20</v>
      </c>
      <c r="I13" s="6">
        <f t="shared" si="0"/>
        <v>0</v>
      </c>
      <c r="J13" s="6">
        <f t="shared" si="0"/>
        <v>15</v>
      </c>
      <c r="K13" s="6">
        <f t="shared" si="0"/>
        <v>0</v>
      </c>
      <c r="L13" s="6">
        <f t="shared" si="0"/>
        <v>0</v>
      </c>
      <c r="M13" s="6">
        <f t="shared" si="0"/>
        <v>0</v>
      </c>
      <c r="N13" s="6">
        <f t="shared" si="0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5</v>
      </c>
      <c r="G14" s="10">
        <v>10</v>
      </c>
      <c r="H14" s="10">
        <v>5</v>
      </c>
      <c r="I14" s="10">
        <v>0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38</v>
      </c>
      <c r="D15" s="4" t="s">
        <v>35</v>
      </c>
      <c r="E15" s="4" t="s">
        <v>13</v>
      </c>
      <c r="F15" s="4" t="s">
        <v>19</v>
      </c>
      <c r="G15" s="4" t="s">
        <v>24</v>
      </c>
      <c r="H15" s="4" t="s">
        <v>29</v>
      </c>
      <c r="I15" s="4" t="s">
        <v>40</v>
      </c>
      <c r="J15" s="17" t="s">
        <v>33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0</v>
      </c>
      <c r="E16" s="12">
        <v>30</v>
      </c>
      <c r="F16" s="12">
        <v>0</v>
      </c>
      <c r="G16" s="12">
        <v>20</v>
      </c>
      <c r="H16" s="12">
        <v>15</v>
      </c>
      <c r="I16" s="12">
        <v>5</v>
      </c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1">SUM(C19:C28)</f>
        <v>35</v>
      </c>
      <c r="D17" s="13">
        <f t="shared" si="1"/>
        <v>0</v>
      </c>
      <c r="E17" s="13">
        <f t="shared" si="1"/>
        <v>30</v>
      </c>
      <c r="F17" s="13">
        <f t="shared" si="1"/>
        <v>0</v>
      </c>
      <c r="G17" s="13">
        <f t="shared" si="1"/>
        <v>20</v>
      </c>
      <c r="H17" s="13">
        <f t="shared" si="1"/>
        <v>5</v>
      </c>
      <c r="I17" s="13">
        <f t="shared" si="1"/>
        <v>10</v>
      </c>
      <c r="J17" s="13">
        <f t="shared" si="1"/>
        <v>0</v>
      </c>
      <c r="K17" s="13">
        <f t="shared" si="1"/>
        <v>0</v>
      </c>
      <c r="L17" s="13">
        <f t="shared" si="1"/>
        <v>0</v>
      </c>
      <c r="M17" s="13">
        <f t="shared" si="1"/>
        <v>0</v>
      </c>
      <c r="N17" s="13">
        <f t="shared" si="1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4" si="2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2"/>
        <v>20</v>
      </c>
      <c r="B20" s="2"/>
      <c r="C20" s="3"/>
      <c r="E20" s="1">
        <v>20</v>
      </c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2"/>
        <v>15</v>
      </c>
      <c r="B21" s="2"/>
      <c r="C21" s="3"/>
      <c r="D21" s="3"/>
      <c r="G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2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2"/>
        <v>10</v>
      </c>
      <c r="B23" s="2"/>
      <c r="F23" s="3"/>
      <c r="H23" s="3"/>
      <c r="I23" s="1">
        <v>10</v>
      </c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2"/>
        <v>10</v>
      </c>
      <c r="B24" s="2"/>
      <c r="E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SUM(C26:N26)</f>
        <v>5</v>
      </c>
      <c r="B26" s="2"/>
      <c r="C26" s="3"/>
      <c r="D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SUM(C27:N27)</f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>SUM(C28:N28)</f>
        <v>1</v>
      </c>
      <c r="B28" s="2"/>
      <c r="C28" s="3"/>
      <c r="D28" s="3"/>
      <c r="E28" s="3"/>
      <c r="H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3">SUM(C30:C39)</f>
        <v>0</v>
      </c>
      <c r="D29" s="2">
        <f t="shared" si="3"/>
        <v>0</v>
      </c>
      <c r="E29" s="2">
        <f t="shared" si="3"/>
        <v>0</v>
      </c>
      <c r="F29" s="2">
        <f t="shared" si="3"/>
        <v>0</v>
      </c>
      <c r="G29" s="2">
        <f t="shared" si="3"/>
        <v>0</v>
      </c>
      <c r="H29" s="2">
        <f t="shared" si="3"/>
        <v>0</v>
      </c>
      <c r="I29" s="2">
        <f t="shared" si="3"/>
        <v>0</v>
      </c>
      <c r="J29" s="2">
        <f t="shared" si="3"/>
        <v>0</v>
      </c>
      <c r="K29" s="2">
        <f t="shared" si="3"/>
        <v>0</v>
      </c>
      <c r="L29" s="2">
        <f t="shared" si="3"/>
        <v>0</v>
      </c>
      <c r="M29" s="2">
        <f t="shared" si="3"/>
        <v>0</v>
      </c>
      <c r="N29" s="2">
        <f t="shared" si="3"/>
        <v>0</v>
      </c>
    </row>
  </sheetData>
  <conditionalFormatting sqref="A2 P2">
    <cfRule type="duplicateValues" dxfId="597" priority="23"/>
  </conditionalFormatting>
  <conditionalFormatting sqref="A3 P3">
    <cfRule type="duplicateValues" dxfId="596" priority="22"/>
  </conditionalFormatting>
  <conditionalFormatting sqref="A4 P4">
    <cfRule type="duplicateValues" dxfId="595" priority="21"/>
  </conditionalFormatting>
  <conditionalFormatting sqref="A5 P5">
    <cfRule type="duplicateValues" dxfId="594" priority="20"/>
  </conditionalFormatting>
  <conditionalFormatting sqref="A6 P6">
    <cfRule type="duplicateValues" dxfId="593" priority="19"/>
  </conditionalFormatting>
  <conditionalFormatting sqref="A7 P7">
    <cfRule type="duplicateValues" dxfId="592" priority="18"/>
  </conditionalFormatting>
  <conditionalFormatting sqref="A8 P8">
    <cfRule type="duplicateValues" dxfId="591" priority="17"/>
  </conditionalFormatting>
  <conditionalFormatting sqref="A9 P9">
    <cfRule type="duplicateValues" dxfId="590" priority="16"/>
  </conditionalFormatting>
  <conditionalFormatting sqref="A10 P10">
    <cfRule type="duplicateValues" dxfId="589" priority="15"/>
  </conditionalFormatting>
  <conditionalFormatting sqref="A11 P11">
    <cfRule type="duplicateValues" dxfId="588" priority="14"/>
  </conditionalFormatting>
  <conditionalFormatting sqref="A13:A14">
    <cfRule type="cellIs" dxfId="587" priority="27" operator="notEqual">
      <formula>100</formula>
    </cfRule>
  </conditionalFormatting>
  <conditionalFormatting sqref="A16:A17">
    <cfRule type="cellIs" dxfId="586" priority="25" operator="notEqual">
      <formula>100</formula>
    </cfRule>
  </conditionalFormatting>
  <conditionalFormatting sqref="A19 P19">
    <cfRule type="duplicateValues" dxfId="585" priority="12"/>
  </conditionalFormatting>
  <conditionalFormatting sqref="A20 P20">
    <cfRule type="duplicateValues" dxfId="584" priority="11"/>
  </conditionalFormatting>
  <conditionalFormatting sqref="A21 P21">
    <cfRule type="duplicateValues" dxfId="583" priority="10"/>
  </conditionalFormatting>
  <conditionalFormatting sqref="A22 P22">
    <cfRule type="duplicateValues" dxfId="582" priority="9"/>
  </conditionalFormatting>
  <conditionalFormatting sqref="A23 P23">
    <cfRule type="duplicateValues" dxfId="581" priority="8"/>
  </conditionalFormatting>
  <conditionalFormatting sqref="A24 P24">
    <cfRule type="duplicateValues" dxfId="580" priority="7"/>
  </conditionalFormatting>
  <conditionalFormatting sqref="A25 P25">
    <cfRule type="duplicateValues" dxfId="579" priority="6"/>
  </conditionalFormatting>
  <conditionalFormatting sqref="A26 P26">
    <cfRule type="duplicateValues" dxfId="578" priority="5"/>
  </conditionalFormatting>
  <conditionalFormatting sqref="A27 P27">
    <cfRule type="duplicateValues" dxfId="577" priority="4"/>
  </conditionalFormatting>
  <conditionalFormatting sqref="A28 P28">
    <cfRule type="duplicateValues" dxfId="576" priority="3"/>
  </conditionalFormatting>
  <conditionalFormatting sqref="C13:N13">
    <cfRule type="cellIs" dxfId="575" priority="2" operator="equal">
      <formula>0</formula>
    </cfRule>
  </conditionalFormatting>
  <conditionalFormatting sqref="C17:N17">
    <cfRule type="cellIs" dxfId="574" priority="1" operator="equal">
      <formula>0</formula>
    </cfRule>
  </conditionalFormatting>
  <conditionalFormatting sqref="P2 A2:A11">
    <cfRule type="duplicateValues" dxfId="573" priority="24"/>
  </conditionalFormatting>
  <conditionalFormatting sqref="P19 A19:A28">
    <cfRule type="duplicateValues" dxfId="572" priority="13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96B1-0C75-4B74-8AAE-B9C448277A3D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>SUM(C4:N4)</f>
        <v>15</v>
      </c>
      <c r="B4" s="2"/>
      <c r="C4" s="3"/>
      <c r="D4" s="1">
        <v>15</v>
      </c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SUM(E5:N5)</f>
        <v>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>SUM(C6:N6)</f>
        <v>10</v>
      </c>
      <c r="B6" s="2"/>
      <c r="C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>SUM(C7:N7)</f>
        <v>10</v>
      </c>
      <c r="B7" s="2"/>
      <c r="I7" s="1">
        <v>10</v>
      </c>
      <c r="J7" s="1"/>
      <c r="L7" s="3"/>
      <c r="M7" s="3"/>
      <c r="N7" s="3"/>
      <c r="P7" s="4">
        <v>10</v>
      </c>
    </row>
    <row r="8" spans="1:16" ht="19.5" customHeight="1" x14ac:dyDescent="0.25">
      <c r="A8" s="1">
        <f>SUM(D8:N8)</f>
        <v>5</v>
      </c>
      <c r="B8" s="2"/>
      <c r="D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SUM(C9:N9)</f>
        <v>5</v>
      </c>
      <c r="B9" s="2"/>
      <c r="C9" s="3"/>
      <c r="E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>SUM(C10:N10)</f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>SUM(C11:N11)</f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0">SUM(C2:C11)</f>
        <v>60</v>
      </c>
      <c r="D13" s="6">
        <f t="shared" si="0"/>
        <v>20</v>
      </c>
      <c r="E13" s="6">
        <f t="shared" si="0"/>
        <v>0</v>
      </c>
      <c r="F13" s="6">
        <f t="shared" si="0"/>
        <v>0</v>
      </c>
      <c r="G13" s="6">
        <f t="shared" si="0"/>
        <v>5</v>
      </c>
      <c r="H13" s="6">
        <f t="shared" si="0"/>
        <v>5</v>
      </c>
      <c r="I13" s="6">
        <f t="shared" si="0"/>
        <v>10</v>
      </c>
      <c r="J13" s="6">
        <f t="shared" si="0"/>
        <v>0</v>
      </c>
      <c r="K13" s="6">
        <f t="shared" si="0"/>
        <v>0</v>
      </c>
      <c r="L13" s="6">
        <f t="shared" si="0"/>
        <v>0</v>
      </c>
      <c r="M13" s="6">
        <f t="shared" si="0"/>
        <v>0</v>
      </c>
      <c r="N13" s="6">
        <f t="shared" si="0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60</v>
      </c>
      <c r="D14" s="10">
        <v>20</v>
      </c>
      <c r="E14" s="10">
        <v>10</v>
      </c>
      <c r="F14" s="10">
        <v>0</v>
      </c>
      <c r="G14" s="10">
        <v>5</v>
      </c>
      <c r="H14" s="10">
        <v>5</v>
      </c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12</v>
      </c>
      <c r="D15" s="4" t="s">
        <v>29</v>
      </c>
      <c r="E15" s="4" t="s">
        <v>19</v>
      </c>
      <c r="F15" s="4" t="s">
        <v>40</v>
      </c>
      <c r="G15" s="4" t="s">
        <v>13</v>
      </c>
      <c r="H15" s="4" t="s">
        <v>24</v>
      </c>
      <c r="I15" s="17" t="s">
        <v>33</v>
      </c>
    </row>
    <row r="16" spans="1:16" s="11" customFormat="1" ht="14.25" customHeight="1" x14ac:dyDescent="0.25">
      <c r="A16" s="14">
        <f>SUM(C16:N16)</f>
        <v>100</v>
      </c>
      <c r="B16" s="9"/>
      <c r="C16" s="12">
        <v>60</v>
      </c>
      <c r="D16" s="12">
        <v>20</v>
      </c>
      <c r="E16" s="12">
        <v>0</v>
      </c>
      <c r="F16" s="12">
        <v>10</v>
      </c>
      <c r="G16" s="12">
        <v>5</v>
      </c>
      <c r="H16" s="12">
        <v>5</v>
      </c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1">SUM(C19:C28)</f>
        <v>60</v>
      </c>
      <c r="D17" s="13">
        <f t="shared" si="1"/>
        <v>20</v>
      </c>
      <c r="E17" s="13">
        <f t="shared" si="1"/>
        <v>0</v>
      </c>
      <c r="F17" s="13">
        <f t="shared" si="1"/>
        <v>10</v>
      </c>
      <c r="G17" s="13">
        <f t="shared" si="1"/>
        <v>5</v>
      </c>
      <c r="H17" s="13">
        <f t="shared" si="1"/>
        <v>5</v>
      </c>
      <c r="I17" s="13">
        <f t="shared" si="1"/>
        <v>0</v>
      </c>
      <c r="J17" s="13">
        <f t="shared" si="1"/>
        <v>0</v>
      </c>
      <c r="K17" s="13">
        <f t="shared" si="1"/>
        <v>0</v>
      </c>
      <c r="L17" s="13">
        <f t="shared" si="1"/>
        <v>0</v>
      </c>
      <c r="M17" s="13">
        <f t="shared" si="1"/>
        <v>0</v>
      </c>
      <c r="N17" s="13">
        <f t="shared" si="1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4" si="2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2"/>
        <v>20</v>
      </c>
      <c r="B20" s="2"/>
      <c r="C20" s="1">
        <v>20</v>
      </c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2"/>
        <v>15</v>
      </c>
      <c r="B21" s="2"/>
      <c r="C21" s="3"/>
      <c r="D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2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2"/>
        <v>10</v>
      </c>
      <c r="B23" s="2"/>
      <c r="C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2"/>
        <v>10</v>
      </c>
      <c r="B24" s="2"/>
      <c r="F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5</v>
      </c>
      <c r="B25" s="2"/>
      <c r="D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SUM(C26:N26)</f>
        <v>5</v>
      </c>
      <c r="B26" s="2"/>
      <c r="C26" s="3"/>
      <c r="E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SUM(C27:N27)</f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>SUM(C28:N28)</f>
        <v>1</v>
      </c>
      <c r="B28" s="2"/>
      <c r="C28" s="3"/>
      <c r="D28" s="3"/>
      <c r="E28" s="3"/>
      <c r="H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3">SUM(C30:C39)</f>
        <v>0</v>
      </c>
      <c r="D29" s="2">
        <f t="shared" si="3"/>
        <v>0</v>
      </c>
      <c r="E29" s="2">
        <f t="shared" si="3"/>
        <v>0</v>
      </c>
      <c r="F29" s="2">
        <f t="shared" si="3"/>
        <v>0</v>
      </c>
      <c r="G29" s="2">
        <f t="shared" si="3"/>
        <v>0</v>
      </c>
      <c r="H29" s="2">
        <f t="shared" si="3"/>
        <v>0</v>
      </c>
      <c r="I29" s="2">
        <f t="shared" si="3"/>
        <v>0</v>
      </c>
      <c r="J29" s="2">
        <f t="shared" si="3"/>
        <v>0</v>
      </c>
      <c r="K29" s="2">
        <f t="shared" si="3"/>
        <v>0</v>
      </c>
      <c r="L29" s="2">
        <f t="shared" si="3"/>
        <v>0</v>
      </c>
      <c r="M29" s="2">
        <f t="shared" si="3"/>
        <v>0</v>
      </c>
      <c r="N29" s="2">
        <f t="shared" si="3"/>
        <v>0</v>
      </c>
    </row>
  </sheetData>
  <conditionalFormatting sqref="A2 P2">
    <cfRule type="duplicateValues" dxfId="571" priority="23"/>
  </conditionalFormatting>
  <conditionalFormatting sqref="A3 P3">
    <cfRule type="duplicateValues" dxfId="570" priority="22"/>
  </conditionalFormatting>
  <conditionalFormatting sqref="A4 P4">
    <cfRule type="duplicateValues" dxfId="569" priority="21"/>
  </conditionalFormatting>
  <conditionalFormatting sqref="A5 P5">
    <cfRule type="duplicateValues" dxfId="568" priority="20"/>
  </conditionalFormatting>
  <conditionalFormatting sqref="A6 P6">
    <cfRule type="duplicateValues" dxfId="567" priority="19"/>
  </conditionalFormatting>
  <conditionalFormatting sqref="A7 P7">
    <cfRule type="duplicateValues" dxfId="566" priority="18"/>
  </conditionalFormatting>
  <conditionalFormatting sqref="A8 P8">
    <cfRule type="duplicateValues" dxfId="565" priority="17"/>
  </conditionalFormatting>
  <conditionalFormatting sqref="A9 P9">
    <cfRule type="duplicateValues" dxfId="564" priority="16"/>
  </conditionalFormatting>
  <conditionalFormatting sqref="A10 P10">
    <cfRule type="duplicateValues" dxfId="563" priority="15"/>
  </conditionalFormatting>
  <conditionalFormatting sqref="A11 P11">
    <cfRule type="duplicateValues" dxfId="562" priority="14"/>
  </conditionalFormatting>
  <conditionalFormatting sqref="A13:A14">
    <cfRule type="cellIs" dxfId="561" priority="27" operator="notEqual">
      <formula>100</formula>
    </cfRule>
  </conditionalFormatting>
  <conditionalFormatting sqref="A16:A17">
    <cfRule type="cellIs" dxfId="560" priority="25" operator="notEqual">
      <formula>100</formula>
    </cfRule>
  </conditionalFormatting>
  <conditionalFormatting sqref="A19 P19">
    <cfRule type="duplicateValues" dxfId="559" priority="12"/>
  </conditionalFormatting>
  <conditionalFormatting sqref="A20 P20">
    <cfRule type="duplicateValues" dxfId="558" priority="11"/>
  </conditionalFormatting>
  <conditionalFormatting sqref="A21 P21">
    <cfRule type="duplicateValues" dxfId="557" priority="10"/>
  </conditionalFormatting>
  <conditionalFormatting sqref="A22 P22">
    <cfRule type="duplicateValues" dxfId="556" priority="9"/>
  </conditionalFormatting>
  <conditionalFormatting sqref="A23 P23">
    <cfRule type="duplicateValues" dxfId="555" priority="8"/>
  </conditionalFormatting>
  <conditionalFormatting sqref="A24 P24">
    <cfRule type="duplicateValues" dxfId="554" priority="7"/>
  </conditionalFormatting>
  <conditionalFormatting sqref="A25 P25">
    <cfRule type="duplicateValues" dxfId="553" priority="6"/>
  </conditionalFormatting>
  <conditionalFormatting sqref="A26 P26">
    <cfRule type="duplicateValues" dxfId="552" priority="5"/>
  </conditionalFormatting>
  <conditionalFormatting sqref="A27 P27">
    <cfRule type="duplicateValues" dxfId="551" priority="4"/>
  </conditionalFormatting>
  <conditionalFormatting sqref="A28 P28">
    <cfRule type="duplicateValues" dxfId="550" priority="3"/>
  </conditionalFormatting>
  <conditionalFormatting sqref="C13:N13">
    <cfRule type="cellIs" dxfId="549" priority="2" operator="equal">
      <formula>0</formula>
    </cfRule>
  </conditionalFormatting>
  <conditionalFormatting sqref="C17:N17">
    <cfRule type="cellIs" dxfId="548" priority="1" operator="equal">
      <formula>0</formula>
    </cfRule>
  </conditionalFormatting>
  <conditionalFormatting sqref="P2 A2:A11">
    <cfRule type="duplicateValues" dxfId="547" priority="24"/>
  </conditionalFormatting>
  <conditionalFormatting sqref="P19 A19:A28">
    <cfRule type="duplicateValues" dxfId="546" priority="13"/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67486-C9C5-48D5-A557-2E32A0D2EF2D}">
  <dimension ref="A1:P29"/>
  <sheetViews>
    <sheetView workbookViewId="0">
      <selection activeCell="N15" sqref="N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D2" s="3"/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SUM(D5:N5)</f>
        <v>10</v>
      </c>
      <c r="B5" s="2"/>
      <c r="G5" s="1">
        <v>10</v>
      </c>
      <c r="H5" s="3"/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3"/>
      <c r="E6" s="3"/>
      <c r="H6" s="1">
        <v>10</v>
      </c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3"/>
      <c r="D7" s="3"/>
      <c r="F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1">
        <v>5</v>
      </c>
      <c r="I8" s="1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I9" s="1">
        <v>5</v>
      </c>
      <c r="J9" s="1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I10" s="1">
        <v>4</v>
      </c>
      <c r="J10" s="3"/>
      <c r="K10" s="1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L11" s="1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15</v>
      </c>
      <c r="G13" s="6">
        <f t="shared" si="1"/>
        <v>10</v>
      </c>
      <c r="H13" s="6">
        <f t="shared" si="1"/>
        <v>10</v>
      </c>
      <c r="I13" s="6">
        <f>SUM(I2:I11)</f>
        <v>10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120</v>
      </c>
      <c r="B14" s="9"/>
      <c r="C14" s="10">
        <v>30</v>
      </c>
      <c r="D14" s="10">
        <v>30</v>
      </c>
      <c r="E14" s="16">
        <v>20</v>
      </c>
      <c r="F14" s="10">
        <v>20</v>
      </c>
      <c r="G14" s="10">
        <v>10</v>
      </c>
      <c r="H14" s="10">
        <v>5</v>
      </c>
      <c r="I14" s="10">
        <v>5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5</v>
      </c>
      <c r="D15" s="4" t="s">
        <v>4</v>
      </c>
      <c r="E15" s="4" t="s">
        <v>8</v>
      </c>
      <c r="F15" s="4" t="s">
        <v>17</v>
      </c>
      <c r="G15" s="4" t="s">
        <v>2</v>
      </c>
      <c r="H15" s="4" t="s">
        <v>6</v>
      </c>
      <c r="I15" s="4" t="s">
        <v>7</v>
      </c>
      <c r="J15" s="4" t="s">
        <v>18</v>
      </c>
      <c r="K15" s="4" t="s">
        <v>3</v>
      </c>
      <c r="L15" s="4" t="s">
        <v>9</v>
      </c>
      <c r="M15" s="4" t="s">
        <v>16</v>
      </c>
    </row>
    <row r="16" spans="1:16" s="11" customFormat="1" ht="14.25" customHeight="1" x14ac:dyDescent="0.25">
      <c r="A16" s="14">
        <f>SUM(C16:N16)</f>
        <v>100</v>
      </c>
      <c r="B16" s="9"/>
      <c r="C16" s="12"/>
      <c r="D16" s="12"/>
      <c r="E16" s="12"/>
      <c r="F16" s="12"/>
      <c r="G16" s="12"/>
      <c r="H16" s="12"/>
      <c r="I16" s="12"/>
      <c r="J16" s="15">
        <v>30</v>
      </c>
      <c r="K16" s="12">
        <v>40</v>
      </c>
      <c r="L16" s="12">
        <v>20</v>
      </c>
      <c r="M16" s="15">
        <v>10</v>
      </c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0</v>
      </c>
      <c r="E17" s="13">
        <f t="shared" si="2"/>
        <v>0</v>
      </c>
      <c r="F17" s="13">
        <f t="shared" si="2"/>
        <v>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30</v>
      </c>
      <c r="K17" s="13">
        <f t="shared" si="2"/>
        <v>40</v>
      </c>
      <c r="L17" s="13">
        <f>SUM(L19:L28)</f>
        <v>20</v>
      </c>
      <c r="M17" s="13">
        <f>SUM(M19:M28)</f>
        <v>10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D19" s="3"/>
      <c r="E19" s="3"/>
      <c r="F19" s="3"/>
      <c r="G19" s="3"/>
      <c r="H19" s="3"/>
      <c r="I19" s="3"/>
      <c r="J19" s="3">
        <v>20</v>
      </c>
      <c r="K19" s="3"/>
      <c r="L19" s="3"/>
      <c r="M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E20" s="3"/>
      <c r="F20" s="3"/>
      <c r="G20" s="3"/>
      <c r="H20" s="3"/>
      <c r="I20" s="3"/>
      <c r="K20" s="1">
        <v>20</v>
      </c>
      <c r="L20" s="3"/>
      <c r="M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3"/>
      <c r="I21" s="3"/>
      <c r="J21" s="3"/>
      <c r="K21" s="3"/>
      <c r="L21" s="1">
        <v>15</v>
      </c>
      <c r="M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3"/>
      <c r="G22" s="3"/>
      <c r="H22" s="3"/>
      <c r="I22" s="3"/>
      <c r="J22" s="1">
        <v>10</v>
      </c>
      <c r="K22" s="3"/>
      <c r="L22" s="3"/>
      <c r="M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3"/>
      <c r="E23" s="3"/>
      <c r="F23" s="3"/>
      <c r="I23" s="3"/>
      <c r="K23" s="1">
        <v>10</v>
      </c>
      <c r="L23" s="3"/>
      <c r="M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3"/>
      <c r="D24" s="3"/>
      <c r="F24" s="3"/>
      <c r="I24" s="1"/>
      <c r="K24" s="1">
        <v>10</v>
      </c>
      <c r="L24" s="3"/>
      <c r="M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G25" s="3"/>
      <c r="J25" s="3"/>
      <c r="K25" s="3"/>
      <c r="L25" s="1">
        <v>5</v>
      </c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3"/>
      <c r="J26" s="3"/>
      <c r="K26" s="3"/>
      <c r="L26" s="3"/>
      <c r="M26" s="1">
        <v>5</v>
      </c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3"/>
      <c r="H27" s="3"/>
      <c r="J27" s="3"/>
      <c r="M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3"/>
      <c r="H28" s="3"/>
      <c r="J28" s="3"/>
      <c r="K28" s="3"/>
      <c r="M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545" priority="23"/>
  </conditionalFormatting>
  <conditionalFormatting sqref="A3 P3">
    <cfRule type="duplicateValues" dxfId="544" priority="22"/>
  </conditionalFormatting>
  <conditionalFormatting sqref="A4 P4">
    <cfRule type="duplicateValues" dxfId="543" priority="21"/>
  </conditionalFormatting>
  <conditionalFormatting sqref="A5 P5">
    <cfRule type="duplicateValues" dxfId="542" priority="20"/>
  </conditionalFormatting>
  <conditionalFormatting sqref="A6 P6">
    <cfRule type="duplicateValues" dxfId="541" priority="19"/>
  </conditionalFormatting>
  <conditionalFormatting sqref="A7 P7">
    <cfRule type="duplicateValues" dxfId="540" priority="18"/>
  </conditionalFormatting>
  <conditionalFormatting sqref="A8 P8">
    <cfRule type="duplicateValues" dxfId="539" priority="17"/>
  </conditionalFormatting>
  <conditionalFormatting sqref="A9 P9">
    <cfRule type="duplicateValues" dxfId="538" priority="16"/>
  </conditionalFormatting>
  <conditionalFormatting sqref="A10 P10">
    <cfRule type="duplicateValues" dxfId="537" priority="15"/>
  </conditionalFormatting>
  <conditionalFormatting sqref="A11 P11">
    <cfRule type="duplicateValues" dxfId="536" priority="14"/>
  </conditionalFormatting>
  <conditionalFormatting sqref="A13:A14">
    <cfRule type="cellIs" dxfId="535" priority="27" operator="notEqual">
      <formula>100</formula>
    </cfRule>
  </conditionalFormatting>
  <conditionalFormatting sqref="A16:A17">
    <cfRule type="cellIs" dxfId="534" priority="25" operator="notEqual">
      <formula>100</formula>
    </cfRule>
  </conditionalFormatting>
  <conditionalFormatting sqref="A19 P19">
    <cfRule type="duplicateValues" dxfId="533" priority="12"/>
  </conditionalFormatting>
  <conditionalFormatting sqref="A20 P20">
    <cfRule type="duplicateValues" dxfId="532" priority="11"/>
  </conditionalFormatting>
  <conditionalFormatting sqref="A21 P21">
    <cfRule type="duplicateValues" dxfId="531" priority="10"/>
  </conditionalFormatting>
  <conditionalFormatting sqref="A22 P22">
    <cfRule type="duplicateValues" dxfId="530" priority="9"/>
  </conditionalFormatting>
  <conditionalFormatting sqref="A23 P23">
    <cfRule type="duplicateValues" dxfId="529" priority="8"/>
  </conditionalFormatting>
  <conditionalFormatting sqref="A24 P24">
    <cfRule type="duplicateValues" dxfId="528" priority="7"/>
  </conditionalFormatting>
  <conditionalFormatting sqref="A25 P25">
    <cfRule type="duplicateValues" dxfId="527" priority="6"/>
  </conditionalFormatting>
  <conditionalFormatting sqref="A26 P26">
    <cfRule type="duplicateValues" dxfId="526" priority="5"/>
  </conditionalFormatting>
  <conditionalFormatting sqref="A27 P27">
    <cfRule type="duplicateValues" dxfId="525" priority="4"/>
  </conditionalFormatting>
  <conditionalFormatting sqref="A28 P28">
    <cfRule type="duplicateValues" dxfId="524" priority="3"/>
  </conditionalFormatting>
  <conditionalFormatting sqref="C13:N13">
    <cfRule type="cellIs" dxfId="523" priority="2" operator="equal">
      <formula>0</formula>
    </cfRule>
  </conditionalFormatting>
  <conditionalFormatting sqref="C17:N17">
    <cfRule type="cellIs" dxfId="522" priority="1" operator="equal">
      <formula>0</formula>
    </cfRule>
  </conditionalFormatting>
  <conditionalFormatting sqref="P2 A2:A11">
    <cfRule type="duplicateValues" dxfId="521" priority="24"/>
  </conditionalFormatting>
  <conditionalFormatting sqref="P19 A19:A28">
    <cfRule type="duplicateValues" dxfId="520" priority="13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29611-1F46-43EF-8EBB-53BAC1B8EF24}">
  <dimension ref="A1:P29"/>
  <sheetViews>
    <sheetView workbookViewId="0">
      <selection activeCell="L15" sqref="L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3"/>
      <c r="K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15</v>
      </c>
      <c r="F13" s="6">
        <f t="shared" si="1"/>
        <v>15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5</v>
      </c>
      <c r="K13" s="6">
        <f t="shared" si="1"/>
        <v>5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/>
      <c r="H14" s="10"/>
      <c r="I14" s="10"/>
      <c r="J14" s="10">
        <v>5</v>
      </c>
      <c r="K14" s="10">
        <v>5</v>
      </c>
      <c r="L14" s="10"/>
      <c r="M14" s="10"/>
      <c r="N14" s="10"/>
    </row>
    <row r="15" spans="1:16" ht="20.25" customHeight="1" x14ac:dyDescent="0.25">
      <c r="A15" s="1"/>
      <c r="B15" s="2"/>
      <c r="C15" s="4" t="s">
        <v>6</v>
      </c>
      <c r="D15" s="4" t="s">
        <v>7</v>
      </c>
      <c r="E15" s="4" t="s">
        <v>11</v>
      </c>
      <c r="F15" s="4" t="s">
        <v>10</v>
      </c>
      <c r="G15" s="4" t="s">
        <v>15</v>
      </c>
      <c r="H15" s="4" t="s">
        <v>16</v>
      </c>
      <c r="I15" s="4" t="s">
        <v>18</v>
      </c>
      <c r="J15" s="4" t="s">
        <v>12</v>
      </c>
      <c r="K15" s="4" t="s">
        <v>14</v>
      </c>
    </row>
    <row r="16" spans="1:16" s="11" customFormat="1" ht="14.25" customHeight="1" x14ac:dyDescent="0.25">
      <c r="A16" s="14">
        <f>SUM(C16:N16)</f>
        <v>100</v>
      </c>
      <c r="B16" s="9"/>
      <c r="C16" s="12"/>
      <c r="D16" s="12"/>
      <c r="E16" s="12"/>
      <c r="F16" s="12"/>
      <c r="G16" s="12">
        <v>50</v>
      </c>
      <c r="H16" s="12">
        <v>30</v>
      </c>
      <c r="I16" s="12">
        <v>10</v>
      </c>
      <c r="J16" s="15">
        <v>5</v>
      </c>
      <c r="K16" s="12">
        <v>5</v>
      </c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0</v>
      </c>
      <c r="E17" s="13">
        <f t="shared" si="2"/>
        <v>0</v>
      </c>
      <c r="F17" s="13">
        <f t="shared" si="2"/>
        <v>0</v>
      </c>
      <c r="G17" s="13">
        <f t="shared" si="2"/>
        <v>50</v>
      </c>
      <c r="H17" s="13">
        <f t="shared" si="2"/>
        <v>30</v>
      </c>
      <c r="I17" s="13">
        <f t="shared" si="2"/>
        <v>10</v>
      </c>
      <c r="J17" s="13">
        <f t="shared" si="2"/>
        <v>5</v>
      </c>
      <c r="K17" s="13">
        <f t="shared" si="2"/>
        <v>5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/>
      <c r="G19" s="3">
        <v>20</v>
      </c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E20" s="3"/>
      <c r="F20" s="3"/>
      <c r="G20" s="1">
        <v>20</v>
      </c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G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H23" s="1">
        <v>10</v>
      </c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>
        <v>10</v>
      </c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H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J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K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K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519" priority="23"/>
  </conditionalFormatting>
  <conditionalFormatting sqref="A3 P3">
    <cfRule type="duplicateValues" dxfId="518" priority="22"/>
  </conditionalFormatting>
  <conditionalFormatting sqref="A4 P4">
    <cfRule type="duplicateValues" dxfId="517" priority="21"/>
  </conditionalFormatting>
  <conditionalFormatting sqref="A5 P5">
    <cfRule type="duplicateValues" dxfId="516" priority="20"/>
  </conditionalFormatting>
  <conditionalFormatting sqref="A6 P6">
    <cfRule type="duplicateValues" dxfId="515" priority="19"/>
  </conditionalFormatting>
  <conditionalFormatting sqref="A7 P7">
    <cfRule type="duplicateValues" dxfId="514" priority="18"/>
  </conditionalFormatting>
  <conditionalFormatting sqref="A8 P8">
    <cfRule type="duplicateValues" dxfId="513" priority="17"/>
  </conditionalFormatting>
  <conditionalFormatting sqref="A9 P9">
    <cfRule type="duplicateValues" dxfId="512" priority="16"/>
  </conditionalFormatting>
  <conditionalFormatting sqref="A10 P10">
    <cfRule type="duplicateValues" dxfId="511" priority="15"/>
  </conditionalFormatting>
  <conditionalFormatting sqref="A11 P11">
    <cfRule type="duplicateValues" dxfId="510" priority="14"/>
  </conditionalFormatting>
  <conditionalFormatting sqref="A13:A14">
    <cfRule type="cellIs" dxfId="509" priority="27" operator="notEqual">
      <formula>100</formula>
    </cfRule>
  </conditionalFormatting>
  <conditionalFormatting sqref="A16:A17">
    <cfRule type="cellIs" dxfId="508" priority="25" operator="notEqual">
      <formula>100</formula>
    </cfRule>
  </conditionalFormatting>
  <conditionalFormatting sqref="A19 P19">
    <cfRule type="duplicateValues" dxfId="507" priority="12"/>
  </conditionalFormatting>
  <conditionalFormatting sqref="A20 P20">
    <cfRule type="duplicateValues" dxfId="506" priority="11"/>
  </conditionalFormatting>
  <conditionalFormatting sqref="A21 P21">
    <cfRule type="duplicateValues" dxfId="505" priority="10"/>
  </conditionalFormatting>
  <conditionalFormatting sqref="A22 P22">
    <cfRule type="duplicateValues" dxfId="504" priority="9"/>
  </conditionalFormatting>
  <conditionalFormatting sqref="A23 P23">
    <cfRule type="duplicateValues" dxfId="503" priority="8"/>
  </conditionalFormatting>
  <conditionalFormatting sqref="A24 P24">
    <cfRule type="duplicateValues" dxfId="502" priority="7"/>
  </conditionalFormatting>
  <conditionalFormatting sqref="A25 P25">
    <cfRule type="duplicateValues" dxfId="501" priority="6"/>
  </conditionalFormatting>
  <conditionalFormatting sqref="A26 P26">
    <cfRule type="duplicateValues" dxfId="500" priority="5"/>
  </conditionalFormatting>
  <conditionalFormatting sqref="A27 P27">
    <cfRule type="duplicateValues" dxfId="499" priority="4"/>
  </conditionalFormatting>
  <conditionalFormatting sqref="A28 P28">
    <cfRule type="duplicateValues" dxfId="498" priority="3"/>
  </conditionalFormatting>
  <conditionalFormatting sqref="C13:N13">
    <cfRule type="cellIs" dxfId="497" priority="2" operator="equal">
      <formula>0</formula>
    </cfRule>
  </conditionalFormatting>
  <conditionalFormatting sqref="C17:N17">
    <cfRule type="cellIs" dxfId="496" priority="1" operator="equal">
      <formula>0</formula>
    </cfRule>
  </conditionalFormatting>
  <conditionalFormatting sqref="P2 A2:A11">
    <cfRule type="duplicateValues" dxfId="495" priority="24"/>
  </conditionalFormatting>
  <conditionalFormatting sqref="P19 A19:A28">
    <cfRule type="duplicateValues" dxfId="494" priority="13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73FA5-B803-4735-AA5A-BF24C9806823}">
  <dimension ref="A1:P29"/>
  <sheetViews>
    <sheetView workbookViewId="0">
      <selection activeCell="E15" sqref="E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7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>SUM(D8:N8)</f>
        <v>0</v>
      </c>
      <c r="B8" s="2"/>
      <c r="C8" s="1">
        <v>5</v>
      </c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0</v>
      </c>
      <c r="B9" s="2"/>
      <c r="C9" s="1">
        <v>5</v>
      </c>
      <c r="E9" s="3"/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>SUM(D10:N10)</f>
        <v>4</v>
      </c>
      <c r="B10" s="2"/>
      <c r="E10" s="1">
        <v>4</v>
      </c>
      <c r="J10" s="3"/>
      <c r="P10" s="4">
        <v>4</v>
      </c>
    </row>
    <row r="11" spans="1:16" ht="19.5" customHeight="1" x14ac:dyDescent="0.25">
      <c r="A11" s="1">
        <f>SUM(D11:N11)</f>
        <v>1</v>
      </c>
      <c r="B11" s="2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80</v>
      </c>
      <c r="D13" s="6">
        <f t="shared" si="1"/>
        <v>15</v>
      </c>
      <c r="E13" s="6">
        <f>SUM(E2:E11)</f>
        <v>5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85</v>
      </c>
      <c r="D14" s="10">
        <v>15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12</v>
      </c>
      <c r="D15" s="4" t="s">
        <v>39</v>
      </c>
      <c r="E15" s="17" t="s">
        <v>52</v>
      </c>
    </row>
    <row r="16" spans="1:16" s="11" customFormat="1" ht="14.25" customHeight="1" x14ac:dyDescent="0.25">
      <c r="A16" s="14">
        <f>SUM(C16:N16)</f>
        <v>100</v>
      </c>
      <c r="B16" s="9"/>
      <c r="C16" s="12">
        <v>85</v>
      </c>
      <c r="D16" s="12">
        <v>15</v>
      </c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70</v>
      </c>
      <c r="D17" s="13">
        <f t="shared" si="2"/>
        <v>25</v>
      </c>
      <c r="E17" s="13">
        <f>SUM(E19:E28)</f>
        <v>5</v>
      </c>
      <c r="F17" s="13">
        <f t="shared" si="2"/>
        <v>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4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SUM(D22:N22)</f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SUM(D26:N26)</f>
        <v>0</v>
      </c>
      <c r="B26" s="2"/>
      <c r="C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4</v>
      </c>
      <c r="B27" s="2"/>
      <c r="E27" s="1">
        <v>4</v>
      </c>
      <c r="J27" s="3"/>
      <c r="P27" s="4">
        <v>4</v>
      </c>
    </row>
    <row r="28" spans="1:16" ht="20.25" customHeight="1" x14ac:dyDescent="0.25">
      <c r="A28" s="1">
        <f>SUM(D28:N28)</f>
        <v>1</v>
      </c>
      <c r="B28" s="2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493" priority="23"/>
  </conditionalFormatting>
  <conditionalFormatting sqref="A3 P3">
    <cfRule type="duplicateValues" dxfId="492" priority="22"/>
  </conditionalFormatting>
  <conditionalFormatting sqref="A4 P4">
    <cfRule type="duplicateValues" dxfId="491" priority="21"/>
  </conditionalFormatting>
  <conditionalFormatting sqref="A5 P5">
    <cfRule type="duplicateValues" dxfId="490" priority="20"/>
  </conditionalFormatting>
  <conditionalFormatting sqref="A6 P6">
    <cfRule type="duplicateValues" dxfId="489" priority="19"/>
  </conditionalFormatting>
  <conditionalFormatting sqref="A7 P7">
    <cfRule type="duplicateValues" dxfId="488" priority="18"/>
  </conditionalFormatting>
  <conditionalFormatting sqref="A8 P8">
    <cfRule type="duplicateValues" dxfId="487" priority="17"/>
  </conditionalFormatting>
  <conditionalFormatting sqref="A9 P9">
    <cfRule type="duplicateValues" dxfId="486" priority="16"/>
  </conditionalFormatting>
  <conditionalFormatting sqref="A10 P10">
    <cfRule type="duplicateValues" dxfId="485" priority="15"/>
  </conditionalFormatting>
  <conditionalFormatting sqref="A11 P11">
    <cfRule type="duplicateValues" dxfId="484" priority="14"/>
  </conditionalFormatting>
  <conditionalFormatting sqref="A13:A14">
    <cfRule type="cellIs" dxfId="483" priority="27" operator="notEqual">
      <formula>100</formula>
    </cfRule>
  </conditionalFormatting>
  <conditionalFormatting sqref="A16:A17">
    <cfRule type="cellIs" dxfId="482" priority="25" operator="notEqual">
      <formula>100</formula>
    </cfRule>
  </conditionalFormatting>
  <conditionalFormatting sqref="A19 P19">
    <cfRule type="duplicateValues" dxfId="481" priority="12"/>
  </conditionalFormatting>
  <conditionalFormatting sqref="A20 P20">
    <cfRule type="duplicateValues" dxfId="480" priority="11"/>
  </conditionalFormatting>
  <conditionalFormatting sqref="A21 P21">
    <cfRule type="duplicateValues" dxfId="479" priority="10"/>
  </conditionalFormatting>
  <conditionalFormatting sqref="A22 P22">
    <cfRule type="duplicateValues" dxfId="478" priority="9"/>
  </conditionalFormatting>
  <conditionalFormatting sqref="A23 P23">
    <cfRule type="duplicateValues" dxfId="477" priority="8"/>
  </conditionalFormatting>
  <conditionalFormatting sqref="A24 P24">
    <cfRule type="duplicateValues" dxfId="476" priority="7"/>
  </conditionalFormatting>
  <conditionalFormatting sqref="A25 P25">
    <cfRule type="duplicateValues" dxfId="475" priority="6"/>
  </conditionalFormatting>
  <conditionalFormatting sqref="A26 P26">
    <cfRule type="duplicateValues" dxfId="474" priority="5"/>
  </conditionalFormatting>
  <conditionalFormatting sqref="A27 P27">
    <cfRule type="duplicateValues" dxfId="473" priority="4"/>
  </conditionalFormatting>
  <conditionalFormatting sqref="A28 P28">
    <cfRule type="duplicateValues" dxfId="472" priority="3"/>
  </conditionalFormatting>
  <conditionalFormatting sqref="C13:N13">
    <cfRule type="cellIs" dxfId="471" priority="2" operator="equal">
      <formula>0</formula>
    </cfRule>
  </conditionalFormatting>
  <conditionalFormatting sqref="C17:N17">
    <cfRule type="cellIs" dxfId="470" priority="1" operator="equal">
      <formula>0</formula>
    </cfRule>
  </conditionalFormatting>
  <conditionalFormatting sqref="P2 A2:A11">
    <cfRule type="duplicateValues" dxfId="469" priority="24"/>
  </conditionalFormatting>
  <conditionalFormatting sqref="P19 A19:A28">
    <cfRule type="duplicateValues" dxfId="468" priority="13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B82C-E7A1-4946-B716-DE9F711E84AC}">
  <dimension ref="A1:P29"/>
  <sheetViews>
    <sheetView workbookViewId="0">
      <selection activeCell="F15" sqref="F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5</v>
      </c>
      <c r="B9" s="2"/>
      <c r="E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75</v>
      </c>
      <c r="D13" s="6">
        <f t="shared" si="1"/>
        <v>15</v>
      </c>
      <c r="E13" s="6">
        <f t="shared" si="1"/>
        <v>5</v>
      </c>
      <c r="F13" s="6">
        <f>SUM(F2:F11)</f>
        <v>5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80</v>
      </c>
      <c r="D14" s="10">
        <v>15</v>
      </c>
      <c r="E14" s="10">
        <v>5</v>
      </c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12</v>
      </c>
      <c r="D15" s="4" t="s">
        <v>39</v>
      </c>
      <c r="E15" s="4" t="s">
        <v>29</v>
      </c>
      <c r="F15" s="17" t="s">
        <v>52</v>
      </c>
    </row>
    <row r="16" spans="1:16" s="11" customFormat="1" ht="14.25" customHeight="1" x14ac:dyDescent="0.25">
      <c r="A16" s="14">
        <f>SUM(C16:N16)</f>
        <v>100</v>
      </c>
      <c r="B16" s="9"/>
      <c r="C16" s="12">
        <v>80</v>
      </c>
      <c r="D16" s="12">
        <v>15</v>
      </c>
      <c r="E16" s="12">
        <v>5</v>
      </c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65</v>
      </c>
      <c r="D17" s="13">
        <f t="shared" si="2"/>
        <v>25</v>
      </c>
      <c r="E17" s="13">
        <f t="shared" si="2"/>
        <v>5</v>
      </c>
      <c r="F17" s="13">
        <f>SUM(F19:F28)</f>
        <v>5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SUM(C20:N20)</f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15</v>
      </c>
      <c r="B21" s="2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SUM(D22:N22)</f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>SUM(C23:N23)</f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SUM(C24:N24)</f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SUM(C25:N25)</f>
        <v>5</v>
      </c>
      <c r="B25" s="2"/>
      <c r="C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SUM(D26:N26)</f>
        <v>5</v>
      </c>
      <c r="B26" s="2"/>
      <c r="E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4</v>
      </c>
      <c r="B27" s="2"/>
      <c r="F27" s="1">
        <v>4</v>
      </c>
      <c r="J27" s="3"/>
      <c r="P27" s="4">
        <v>4</v>
      </c>
    </row>
    <row r="28" spans="1:16" ht="20.25" customHeight="1" x14ac:dyDescent="0.25">
      <c r="A28" s="1">
        <f>SUM(D28:N28)</f>
        <v>1</v>
      </c>
      <c r="B28" s="2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3">SUM(C30:C39)</f>
        <v>0</v>
      </c>
      <c r="D29" s="2">
        <f t="shared" si="3"/>
        <v>0</v>
      </c>
      <c r="E29" s="2">
        <f t="shared" si="3"/>
        <v>0</v>
      </c>
      <c r="F29" s="2">
        <f t="shared" si="3"/>
        <v>0</v>
      </c>
      <c r="G29" s="2">
        <f t="shared" si="3"/>
        <v>0</v>
      </c>
      <c r="H29" s="2">
        <f t="shared" si="3"/>
        <v>0</v>
      </c>
      <c r="I29" s="2">
        <f t="shared" si="3"/>
        <v>0</v>
      </c>
      <c r="J29" s="2">
        <f t="shared" si="3"/>
        <v>0</v>
      </c>
      <c r="K29" s="2">
        <f t="shared" si="3"/>
        <v>0</v>
      </c>
      <c r="L29" s="2">
        <f t="shared" si="3"/>
        <v>0</v>
      </c>
      <c r="M29" s="2">
        <f t="shared" si="3"/>
        <v>0</v>
      </c>
      <c r="N29" s="2">
        <f t="shared" si="3"/>
        <v>0</v>
      </c>
    </row>
  </sheetData>
  <conditionalFormatting sqref="A2 P2">
    <cfRule type="duplicateValues" dxfId="467" priority="23"/>
  </conditionalFormatting>
  <conditionalFormatting sqref="A3 P3">
    <cfRule type="duplicateValues" dxfId="466" priority="22"/>
  </conditionalFormatting>
  <conditionalFormatting sqref="A4 P4">
    <cfRule type="duplicateValues" dxfId="465" priority="21"/>
  </conditionalFormatting>
  <conditionalFormatting sqref="A5 P5">
    <cfRule type="duplicateValues" dxfId="464" priority="20"/>
  </conditionalFormatting>
  <conditionalFormatting sqref="A6 P6">
    <cfRule type="duplicateValues" dxfId="463" priority="19"/>
  </conditionalFormatting>
  <conditionalFormatting sqref="A7 P7">
    <cfRule type="duplicateValues" dxfId="462" priority="18"/>
  </conditionalFormatting>
  <conditionalFormatting sqref="A8 P8">
    <cfRule type="duplicateValues" dxfId="461" priority="17"/>
  </conditionalFormatting>
  <conditionalFormatting sqref="A9 P9">
    <cfRule type="duplicateValues" dxfId="460" priority="16"/>
  </conditionalFormatting>
  <conditionalFormatting sqref="A10 P10">
    <cfRule type="duplicateValues" dxfId="459" priority="15"/>
  </conditionalFormatting>
  <conditionalFormatting sqref="A11 P11">
    <cfRule type="duplicateValues" dxfId="458" priority="14"/>
  </conditionalFormatting>
  <conditionalFormatting sqref="A13:A14">
    <cfRule type="cellIs" dxfId="457" priority="27" operator="notEqual">
      <formula>100</formula>
    </cfRule>
  </conditionalFormatting>
  <conditionalFormatting sqref="A16:A17">
    <cfRule type="cellIs" dxfId="456" priority="25" operator="notEqual">
      <formula>100</formula>
    </cfRule>
  </conditionalFormatting>
  <conditionalFormatting sqref="A19 P19">
    <cfRule type="duplicateValues" dxfId="455" priority="12"/>
  </conditionalFormatting>
  <conditionalFormatting sqref="A20 P20">
    <cfRule type="duplicateValues" dxfId="454" priority="11"/>
  </conditionalFormatting>
  <conditionalFormatting sqref="A21 P21">
    <cfRule type="duplicateValues" dxfId="453" priority="10"/>
  </conditionalFormatting>
  <conditionalFormatting sqref="A22 P22">
    <cfRule type="duplicateValues" dxfId="452" priority="9"/>
  </conditionalFormatting>
  <conditionalFormatting sqref="A23 P23">
    <cfRule type="duplicateValues" dxfId="451" priority="8"/>
  </conditionalFormatting>
  <conditionalFormatting sqref="A24 P24">
    <cfRule type="duplicateValues" dxfId="450" priority="7"/>
  </conditionalFormatting>
  <conditionalFormatting sqref="A25 P25">
    <cfRule type="duplicateValues" dxfId="449" priority="6"/>
  </conditionalFormatting>
  <conditionalFormatting sqref="A26 P26">
    <cfRule type="duplicateValues" dxfId="448" priority="5"/>
  </conditionalFormatting>
  <conditionalFormatting sqref="A27 P27">
    <cfRule type="duplicateValues" dxfId="447" priority="4"/>
  </conditionalFormatting>
  <conditionalFormatting sqref="A28 P28">
    <cfRule type="duplicateValues" dxfId="446" priority="3"/>
  </conditionalFormatting>
  <conditionalFormatting sqref="C13:N13">
    <cfRule type="cellIs" dxfId="445" priority="2" operator="equal">
      <formula>0</formula>
    </cfRule>
  </conditionalFormatting>
  <conditionalFormatting sqref="C17:N17">
    <cfRule type="cellIs" dxfId="444" priority="1" operator="equal">
      <formula>0</formula>
    </cfRule>
  </conditionalFormatting>
  <conditionalFormatting sqref="P2 A2:A11">
    <cfRule type="duplicateValues" dxfId="443" priority="24"/>
  </conditionalFormatting>
  <conditionalFormatting sqref="P19 A19:A28">
    <cfRule type="duplicateValues" dxfId="442" priority="13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C9591-82C2-444A-9860-4D247779DC21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25</v>
      </c>
      <c r="F13" s="6">
        <f t="shared" si="1"/>
        <v>10</v>
      </c>
      <c r="G13" s="6">
        <f t="shared" si="1"/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25</v>
      </c>
      <c r="F14" s="10">
        <v>10</v>
      </c>
      <c r="G14" s="10">
        <v>5</v>
      </c>
      <c r="H14" s="10">
        <v>0</v>
      </c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13</v>
      </c>
      <c r="D15" s="4" t="s">
        <v>1</v>
      </c>
      <c r="E15" s="4" t="s">
        <v>12</v>
      </c>
      <c r="F15" s="4" t="s">
        <v>0</v>
      </c>
      <c r="G15" s="4" t="s">
        <v>20</v>
      </c>
      <c r="H15" s="4" t="s">
        <v>21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5</v>
      </c>
      <c r="F16" s="12">
        <v>10</v>
      </c>
      <c r="G16" s="12">
        <v>5</v>
      </c>
      <c r="H16" s="12">
        <v>20</v>
      </c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5</v>
      </c>
      <c r="F17" s="13">
        <f t="shared" si="2"/>
        <v>10</v>
      </c>
      <c r="G17" s="13">
        <f t="shared" si="2"/>
        <v>5</v>
      </c>
      <c r="H17" s="13">
        <f t="shared" si="2"/>
        <v>20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H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1">
        <v>5</v>
      </c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G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G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441" priority="23"/>
  </conditionalFormatting>
  <conditionalFormatting sqref="A3 P3">
    <cfRule type="duplicateValues" dxfId="440" priority="22"/>
  </conditionalFormatting>
  <conditionalFormatting sqref="A4 P4">
    <cfRule type="duplicateValues" dxfId="439" priority="21"/>
  </conditionalFormatting>
  <conditionalFormatting sqref="A5 P5">
    <cfRule type="duplicateValues" dxfId="438" priority="20"/>
  </conditionalFormatting>
  <conditionalFormatting sqref="A6 P6">
    <cfRule type="duplicateValues" dxfId="437" priority="19"/>
  </conditionalFormatting>
  <conditionalFormatting sqref="A7 P7">
    <cfRule type="duplicateValues" dxfId="436" priority="18"/>
  </conditionalFormatting>
  <conditionalFormatting sqref="A8 P8">
    <cfRule type="duplicateValues" dxfId="435" priority="17"/>
  </conditionalFormatting>
  <conditionalFormatting sqref="A9 P9">
    <cfRule type="duplicateValues" dxfId="434" priority="16"/>
  </conditionalFormatting>
  <conditionalFormatting sqref="A10 P10">
    <cfRule type="duplicateValues" dxfId="433" priority="15"/>
  </conditionalFormatting>
  <conditionalFormatting sqref="A11 P11">
    <cfRule type="duplicateValues" dxfId="432" priority="14"/>
  </conditionalFormatting>
  <conditionalFormatting sqref="A13:A14">
    <cfRule type="cellIs" dxfId="431" priority="27" operator="notEqual">
      <formula>100</formula>
    </cfRule>
  </conditionalFormatting>
  <conditionalFormatting sqref="A16:A17">
    <cfRule type="cellIs" dxfId="430" priority="25" operator="notEqual">
      <formula>100</formula>
    </cfRule>
  </conditionalFormatting>
  <conditionalFormatting sqref="A19 P19">
    <cfRule type="duplicateValues" dxfId="429" priority="12"/>
  </conditionalFormatting>
  <conditionalFormatting sqref="A20 P20">
    <cfRule type="duplicateValues" dxfId="428" priority="11"/>
  </conditionalFormatting>
  <conditionalFormatting sqref="A21 P21">
    <cfRule type="duplicateValues" dxfId="427" priority="10"/>
  </conditionalFormatting>
  <conditionalFormatting sqref="A22 P22">
    <cfRule type="duplicateValues" dxfId="426" priority="9"/>
  </conditionalFormatting>
  <conditionalFormatting sqref="A23 P23">
    <cfRule type="duplicateValues" dxfId="425" priority="8"/>
  </conditionalFormatting>
  <conditionalFormatting sqref="A24 P24">
    <cfRule type="duplicateValues" dxfId="424" priority="7"/>
  </conditionalFormatting>
  <conditionalFormatting sqref="A25 P25">
    <cfRule type="duplicateValues" dxfId="423" priority="6"/>
  </conditionalFormatting>
  <conditionalFormatting sqref="A26 P26">
    <cfRule type="duplicateValues" dxfId="422" priority="5"/>
  </conditionalFormatting>
  <conditionalFormatting sqref="A27 P27">
    <cfRule type="duplicateValues" dxfId="421" priority="4"/>
  </conditionalFormatting>
  <conditionalFormatting sqref="A28 P28">
    <cfRule type="duplicateValues" dxfId="420" priority="3"/>
  </conditionalFormatting>
  <conditionalFormatting sqref="C13:N13">
    <cfRule type="cellIs" dxfId="419" priority="2" operator="equal">
      <formula>0</formula>
    </cfRule>
  </conditionalFormatting>
  <conditionalFormatting sqref="C17:N17">
    <cfRule type="cellIs" dxfId="418" priority="1" operator="equal">
      <formula>0</formula>
    </cfRule>
  </conditionalFormatting>
  <conditionalFormatting sqref="P2 A2:A11">
    <cfRule type="duplicateValues" dxfId="417" priority="24"/>
  </conditionalFormatting>
  <conditionalFormatting sqref="P19 A19:A28">
    <cfRule type="duplicateValues" dxfId="416" priority="13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3E85-DA36-407B-8DB1-932667EF53C7}">
  <dimension ref="A1:P29"/>
  <sheetViews>
    <sheetView workbookViewId="0">
      <selection activeCell="H15" sqref="H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50</v>
      </c>
      <c r="E13" s="6">
        <f t="shared" si="1"/>
        <v>10</v>
      </c>
      <c r="F13" s="6">
        <f t="shared" si="1"/>
        <v>10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50</v>
      </c>
      <c r="E14" s="10">
        <v>10</v>
      </c>
      <c r="F14" s="10">
        <v>10</v>
      </c>
      <c r="G14" s="10">
        <v>0</v>
      </c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13</v>
      </c>
      <c r="D15" s="4" t="s">
        <v>12</v>
      </c>
      <c r="E15" s="4" t="s">
        <v>20</v>
      </c>
      <c r="F15" s="4" t="s">
        <v>0</v>
      </c>
      <c r="G15" s="4" t="s">
        <v>21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10</v>
      </c>
      <c r="F16" s="12">
        <v>10</v>
      </c>
      <c r="G16" s="12">
        <v>20</v>
      </c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10</v>
      </c>
      <c r="F17" s="13">
        <f t="shared" si="2"/>
        <v>10</v>
      </c>
      <c r="G17" s="13">
        <f t="shared" si="2"/>
        <v>20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E20" s="3"/>
      <c r="F20" s="3"/>
      <c r="G20" s="1">
        <v>20</v>
      </c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E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415" priority="23"/>
  </conditionalFormatting>
  <conditionalFormatting sqref="A3 P3">
    <cfRule type="duplicateValues" dxfId="414" priority="22"/>
  </conditionalFormatting>
  <conditionalFormatting sqref="A4 P4">
    <cfRule type="duplicateValues" dxfId="413" priority="21"/>
  </conditionalFormatting>
  <conditionalFormatting sqref="A5 P5">
    <cfRule type="duplicateValues" dxfId="412" priority="20"/>
  </conditionalFormatting>
  <conditionalFormatting sqref="A6 P6">
    <cfRule type="duplicateValues" dxfId="411" priority="19"/>
  </conditionalFormatting>
  <conditionalFormatting sqref="A7 P7">
    <cfRule type="duplicateValues" dxfId="410" priority="18"/>
  </conditionalFormatting>
  <conditionalFormatting sqref="A8 P8">
    <cfRule type="duplicateValues" dxfId="409" priority="17"/>
  </conditionalFormatting>
  <conditionalFormatting sqref="A9 P9">
    <cfRule type="duplicateValues" dxfId="408" priority="16"/>
  </conditionalFormatting>
  <conditionalFormatting sqref="A10 P10">
    <cfRule type="duplicateValues" dxfId="407" priority="15"/>
  </conditionalFormatting>
  <conditionalFormatting sqref="A11 P11">
    <cfRule type="duplicateValues" dxfId="406" priority="14"/>
  </conditionalFormatting>
  <conditionalFormatting sqref="A13:A14">
    <cfRule type="cellIs" dxfId="405" priority="27" operator="notEqual">
      <formula>100</formula>
    </cfRule>
  </conditionalFormatting>
  <conditionalFormatting sqref="A16:A17">
    <cfRule type="cellIs" dxfId="404" priority="25" operator="notEqual">
      <formula>100</formula>
    </cfRule>
  </conditionalFormatting>
  <conditionalFormatting sqref="A19 P19">
    <cfRule type="duplicateValues" dxfId="403" priority="12"/>
  </conditionalFormatting>
  <conditionalFormatting sqref="A20 P20">
    <cfRule type="duplicateValues" dxfId="402" priority="11"/>
  </conditionalFormatting>
  <conditionalFormatting sqref="A21 P21">
    <cfRule type="duplicateValues" dxfId="401" priority="10"/>
  </conditionalFormatting>
  <conditionalFormatting sqref="A22 P22">
    <cfRule type="duplicateValues" dxfId="400" priority="9"/>
  </conditionalFormatting>
  <conditionalFormatting sqref="A23 P23">
    <cfRule type="duplicateValues" dxfId="399" priority="8"/>
  </conditionalFormatting>
  <conditionalFormatting sqref="A24 P24">
    <cfRule type="duplicateValues" dxfId="398" priority="7"/>
  </conditionalFormatting>
  <conditionalFormatting sqref="A25 P25">
    <cfRule type="duplicateValues" dxfId="397" priority="6"/>
  </conditionalFormatting>
  <conditionalFormatting sqref="A26 P26">
    <cfRule type="duplicateValues" dxfId="396" priority="5"/>
  </conditionalFormatting>
  <conditionalFormatting sqref="A27 P27">
    <cfRule type="duplicateValues" dxfId="395" priority="4"/>
  </conditionalFormatting>
  <conditionalFormatting sqref="A28 P28">
    <cfRule type="duplicateValues" dxfId="394" priority="3"/>
  </conditionalFormatting>
  <conditionalFormatting sqref="C13:N13">
    <cfRule type="cellIs" dxfId="393" priority="2" operator="equal">
      <formula>0</formula>
    </cfRule>
  </conditionalFormatting>
  <conditionalFormatting sqref="C17:N17">
    <cfRule type="cellIs" dxfId="392" priority="1" operator="equal">
      <formula>0</formula>
    </cfRule>
  </conditionalFormatting>
  <conditionalFormatting sqref="P2 A2:A11">
    <cfRule type="duplicateValues" dxfId="391" priority="24"/>
  </conditionalFormatting>
  <conditionalFormatting sqref="P19 A19:A28">
    <cfRule type="duplicateValues" dxfId="390" priority="13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4805-1943-4E16-9414-31C98B17AE49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SUM(D3:N3)</f>
        <v>20</v>
      </c>
      <c r="B3" s="2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ref="A4:A11" si="0">SUM(C4:N4)</f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50</v>
      </c>
      <c r="D13" s="6">
        <f t="shared" si="1"/>
        <v>30</v>
      </c>
      <c r="E13" s="6">
        <f t="shared" si="1"/>
        <v>10</v>
      </c>
      <c r="F13" s="6">
        <f t="shared" si="1"/>
        <v>5</v>
      </c>
      <c r="G13" s="6">
        <f t="shared" si="1"/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50</v>
      </c>
      <c r="D14" s="10">
        <v>30</v>
      </c>
      <c r="E14" s="10">
        <v>10</v>
      </c>
      <c r="F14" s="10">
        <v>5</v>
      </c>
      <c r="G14" s="10">
        <v>5</v>
      </c>
      <c r="H14" s="10">
        <v>0</v>
      </c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12</v>
      </c>
      <c r="D15" s="4" t="s">
        <v>29</v>
      </c>
      <c r="E15" s="4" t="s">
        <v>24</v>
      </c>
      <c r="F15" s="4" t="s">
        <v>13</v>
      </c>
      <c r="G15" s="4" t="s">
        <v>20</v>
      </c>
      <c r="H15" s="4" t="s">
        <v>64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10</v>
      </c>
      <c r="F16" s="12">
        <v>5</v>
      </c>
      <c r="G16" s="12">
        <v>5</v>
      </c>
      <c r="H16" s="12">
        <v>20</v>
      </c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10</v>
      </c>
      <c r="F17" s="13">
        <f t="shared" si="2"/>
        <v>5</v>
      </c>
      <c r="G17" s="13">
        <f t="shared" si="2"/>
        <v>5</v>
      </c>
      <c r="H17" s="13">
        <f t="shared" si="2"/>
        <v>20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E20" s="3"/>
      <c r="F20" s="3"/>
      <c r="G20" s="3"/>
      <c r="H20" s="1">
        <v>20</v>
      </c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E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G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G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89" priority="23"/>
  </conditionalFormatting>
  <conditionalFormatting sqref="A3 P3">
    <cfRule type="duplicateValues" dxfId="388" priority="22"/>
  </conditionalFormatting>
  <conditionalFormatting sqref="A4 P4">
    <cfRule type="duplicateValues" dxfId="387" priority="21"/>
  </conditionalFormatting>
  <conditionalFormatting sqref="A5 P5">
    <cfRule type="duplicateValues" dxfId="386" priority="20"/>
  </conditionalFormatting>
  <conditionalFormatting sqref="A6 P6">
    <cfRule type="duplicateValues" dxfId="385" priority="19"/>
  </conditionalFormatting>
  <conditionalFormatting sqref="A7 P7">
    <cfRule type="duplicateValues" dxfId="384" priority="18"/>
  </conditionalFormatting>
  <conditionalFormatting sqref="A8 P8">
    <cfRule type="duplicateValues" dxfId="383" priority="17"/>
  </conditionalFormatting>
  <conditionalFormatting sqref="A9 P9">
    <cfRule type="duplicateValues" dxfId="382" priority="16"/>
  </conditionalFormatting>
  <conditionalFormatting sqref="A10 P10">
    <cfRule type="duplicateValues" dxfId="381" priority="15"/>
  </conditionalFormatting>
  <conditionalFormatting sqref="A11 P11">
    <cfRule type="duplicateValues" dxfId="380" priority="14"/>
  </conditionalFormatting>
  <conditionalFormatting sqref="A13:A14">
    <cfRule type="cellIs" dxfId="379" priority="27" operator="notEqual">
      <formula>100</formula>
    </cfRule>
  </conditionalFormatting>
  <conditionalFormatting sqref="A16:A17">
    <cfRule type="cellIs" dxfId="378" priority="25" operator="notEqual">
      <formula>100</formula>
    </cfRule>
  </conditionalFormatting>
  <conditionalFormatting sqref="A19 P19">
    <cfRule type="duplicateValues" dxfId="377" priority="12"/>
  </conditionalFormatting>
  <conditionalFormatting sqref="A20 P20">
    <cfRule type="duplicateValues" dxfId="376" priority="11"/>
  </conditionalFormatting>
  <conditionalFormatting sqref="A21 P21">
    <cfRule type="duplicateValues" dxfId="375" priority="10"/>
  </conditionalFormatting>
  <conditionalFormatting sqref="A22 P22">
    <cfRule type="duplicateValues" dxfId="374" priority="9"/>
  </conditionalFormatting>
  <conditionalFormatting sqref="A23 P23">
    <cfRule type="duplicateValues" dxfId="373" priority="8"/>
  </conditionalFormatting>
  <conditionalFormatting sqref="A24 P24">
    <cfRule type="duplicateValues" dxfId="372" priority="7"/>
  </conditionalFormatting>
  <conditionalFormatting sqref="A25 P25">
    <cfRule type="duplicateValues" dxfId="371" priority="6"/>
  </conditionalFormatting>
  <conditionalFormatting sqref="A26 P26">
    <cfRule type="duplicateValues" dxfId="370" priority="5"/>
  </conditionalFormatting>
  <conditionalFormatting sqref="A27 P27">
    <cfRule type="duplicateValues" dxfId="369" priority="4"/>
  </conditionalFormatting>
  <conditionalFormatting sqref="A28 P28">
    <cfRule type="duplicateValues" dxfId="368" priority="3"/>
  </conditionalFormatting>
  <conditionalFormatting sqref="C13:N13">
    <cfRule type="cellIs" dxfId="367" priority="2" operator="equal">
      <formula>0</formula>
    </cfRule>
  </conditionalFormatting>
  <conditionalFormatting sqref="C17:N17">
    <cfRule type="cellIs" dxfId="366" priority="1" operator="equal">
      <formula>0</formula>
    </cfRule>
  </conditionalFormatting>
  <conditionalFormatting sqref="P2 A2:A11">
    <cfRule type="duplicateValues" dxfId="365" priority="24"/>
  </conditionalFormatting>
  <conditionalFormatting sqref="P19 A19:A28">
    <cfRule type="duplicateValues" dxfId="364" priority="13"/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DE8DA-63BD-4FDE-AA2A-9BE0F458FC4C}">
  <dimension ref="A1:P29"/>
  <sheetViews>
    <sheetView workbookViewId="0">
      <selection activeCell="E15" sqref="E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>SUM(D8:N8)</f>
        <v>5</v>
      </c>
      <c r="B8" s="2"/>
      <c r="D8" s="1">
        <v>5</v>
      </c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1">
        <v>5</v>
      </c>
      <c r="E9" s="3"/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1">
        <v>4</v>
      </c>
      <c r="E10" s="3"/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1">
        <v>1</v>
      </c>
      <c r="E11" s="3"/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85</v>
      </c>
      <c r="D13" s="6">
        <f t="shared" si="1"/>
        <v>15</v>
      </c>
      <c r="E13" s="6">
        <f t="shared" si="1"/>
        <v>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90</v>
      </c>
      <c r="D14" s="10">
        <v>10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25</v>
      </c>
      <c r="D15" s="4" t="s">
        <v>34</v>
      </c>
    </row>
    <row r="16" spans="1:16" s="11" customFormat="1" ht="14.25" customHeight="1" x14ac:dyDescent="0.25">
      <c r="A16" s="14">
        <f>SUM(C16:N16)</f>
        <v>100</v>
      </c>
      <c r="B16" s="9"/>
      <c r="C16" s="12">
        <v>90</v>
      </c>
      <c r="D16" s="12">
        <v>10</v>
      </c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85</v>
      </c>
      <c r="D17" s="13">
        <f t="shared" si="2"/>
        <v>15</v>
      </c>
      <c r="E17" s="13">
        <f t="shared" si="2"/>
        <v>0</v>
      </c>
      <c r="F17" s="13">
        <f t="shared" si="2"/>
        <v>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1">
        <v>15</v>
      </c>
      <c r="D21" s="3"/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5</v>
      </c>
      <c r="B25" s="2"/>
      <c r="D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1">
        <v>4</v>
      </c>
      <c r="E27" s="3"/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1">
        <v>1</v>
      </c>
      <c r="E28" s="3"/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63" priority="23"/>
  </conditionalFormatting>
  <conditionalFormatting sqref="A3 P3">
    <cfRule type="duplicateValues" dxfId="362" priority="22"/>
  </conditionalFormatting>
  <conditionalFormatting sqref="A4 P4">
    <cfRule type="duplicateValues" dxfId="361" priority="21"/>
  </conditionalFormatting>
  <conditionalFormatting sqref="A5 P5">
    <cfRule type="duplicateValues" dxfId="360" priority="20"/>
  </conditionalFormatting>
  <conditionalFormatting sqref="A6 P6">
    <cfRule type="duplicateValues" dxfId="359" priority="19"/>
  </conditionalFormatting>
  <conditionalFormatting sqref="A7 P7">
    <cfRule type="duplicateValues" dxfId="358" priority="18"/>
  </conditionalFormatting>
  <conditionalFormatting sqref="A8 P8">
    <cfRule type="duplicateValues" dxfId="357" priority="17"/>
  </conditionalFormatting>
  <conditionalFormatting sqref="A9 P9">
    <cfRule type="duplicateValues" dxfId="356" priority="16"/>
  </conditionalFormatting>
  <conditionalFormatting sqref="A10 P10">
    <cfRule type="duplicateValues" dxfId="355" priority="15"/>
  </conditionalFormatting>
  <conditionalFormatting sqref="A11 P11">
    <cfRule type="duplicateValues" dxfId="354" priority="14"/>
  </conditionalFormatting>
  <conditionalFormatting sqref="A13:A14">
    <cfRule type="cellIs" dxfId="353" priority="27" operator="notEqual">
      <formula>100</formula>
    </cfRule>
  </conditionalFormatting>
  <conditionalFormatting sqref="A16:A17">
    <cfRule type="cellIs" dxfId="352" priority="25" operator="notEqual">
      <formula>100</formula>
    </cfRule>
  </conditionalFormatting>
  <conditionalFormatting sqref="A19 P19">
    <cfRule type="duplicateValues" dxfId="351" priority="12"/>
  </conditionalFormatting>
  <conditionalFormatting sqref="A20 P20">
    <cfRule type="duplicateValues" dxfId="350" priority="11"/>
  </conditionalFormatting>
  <conditionalFormatting sqref="A21 P21">
    <cfRule type="duplicateValues" dxfId="349" priority="10"/>
  </conditionalFormatting>
  <conditionalFormatting sqref="A22 P22">
    <cfRule type="duplicateValues" dxfId="348" priority="9"/>
  </conditionalFormatting>
  <conditionalFormatting sqref="A23 P23">
    <cfRule type="duplicateValues" dxfId="347" priority="8"/>
  </conditionalFormatting>
  <conditionalFormatting sqref="A24 P24">
    <cfRule type="duplicateValues" dxfId="346" priority="7"/>
  </conditionalFormatting>
  <conditionalFormatting sqref="A25 P25">
    <cfRule type="duplicateValues" dxfId="345" priority="6"/>
  </conditionalFormatting>
  <conditionalFormatting sqref="A26 P26">
    <cfRule type="duplicateValues" dxfId="344" priority="5"/>
  </conditionalFormatting>
  <conditionalFormatting sqref="A27 P27">
    <cfRule type="duplicateValues" dxfId="343" priority="4"/>
  </conditionalFormatting>
  <conditionalFormatting sqref="A28 P28">
    <cfRule type="duplicateValues" dxfId="342" priority="3"/>
  </conditionalFormatting>
  <conditionalFormatting sqref="C13:N13">
    <cfRule type="cellIs" dxfId="341" priority="2" operator="equal">
      <formula>0</formula>
    </cfRule>
  </conditionalFormatting>
  <conditionalFormatting sqref="C17:N17">
    <cfRule type="cellIs" dxfId="340" priority="1" operator="equal">
      <formula>0</formula>
    </cfRule>
  </conditionalFormatting>
  <conditionalFormatting sqref="P2 A2:A11">
    <cfRule type="duplicateValues" dxfId="339" priority="24"/>
  </conditionalFormatting>
  <conditionalFormatting sqref="P19 A19:A28">
    <cfRule type="duplicateValues" dxfId="338" priority="13"/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895D-61D6-4DFE-94FB-E7508838935C}">
  <dimension ref="A1:P29"/>
  <sheetViews>
    <sheetView workbookViewId="0">
      <selection activeCell="D15" sqref="D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1">
        <v>5</v>
      </c>
      <c r="E9" s="3"/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1">
        <v>4</v>
      </c>
      <c r="E10" s="3"/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1">
        <v>1</v>
      </c>
      <c r="E11" s="3"/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100</v>
      </c>
      <c r="D13" s="6">
        <f t="shared" si="1"/>
        <v>0</v>
      </c>
      <c r="E13" s="6">
        <f t="shared" si="1"/>
        <v>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100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63</v>
      </c>
    </row>
    <row r="16" spans="1:16" s="11" customFormat="1" ht="14.25" customHeight="1" x14ac:dyDescent="0.25">
      <c r="A16" s="14">
        <f>SUM(C16:N16)</f>
        <v>100</v>
      </c>
      <c r="B16" s="9"/>
      <c r="C16" s="12">
        <v>100</v>
      </c>
      <c r="D16" s="12"/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100</v>
      </c>
      <c r="D17" s="13">
        <f t="shared" si="2"/>
        <v>0</v>
      </c>
      <c r="E17" s="13">
        <f t="shared" si="2"/>
        <v>0</v>
      </c>
      <c r="F17" s="13">
        <f t="shared" si="2"/>
        <v>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1">
        <v>15</v>
      </c>
      <c r="D21" s="3"/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1">
        <v>5</v>
      </c>
      <c r="D25" s="3"/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1">
        <v>4</v>
      </c>
      <c r="E27" s="3"/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1">
        <v>1</v>
      </c>
      <c r="E28" s="3"/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37" priority="23"/>
  </conditionalFormatting>
  <conditionalFormatting sqref="A3 P3">
    <cfRule type="duplicateValues" dxfId="336" priority="22"/>
  </conditionalFormatting>
  <conditionalFormatting sqref="A4 P4">
    <cfRule type="duplicateValues" dxfId="335" priority="21"/>
  </conditionalFormatting>
  <conditionalFormatting sqref="A5 P5">
    <cfRule type="duplicateValues" dxfId="334" priority="20"/>
  </conditionalFormatting>
  <conditionalFormatting sqref="A6 P6">
    <cfRule type="duplicateValues" dxfId="333" priority="19"/>
  </conditionalFormatting>
  <conditionalFormatting sqref="A7 P7">
    <cfRule type="duplicateValues" dxfId="332" priority="18"/>
  </conditionalFormatting>
  <conditionalFormatting sqref="A8 P8">
    <cfRule type="duplicateValues" dxfId="331" priority="17"/>
  </conditionalFormatting>
  <conditionalFormatting sqref="A9 P9">
    <cfRule type="duplicateValues" dxfId="330" priority="16"/>
  </conditionalFormatting>
  <conditionalFormatting sqref="A10 P10">
    <cfRule type="duplicateValues" dxfId="329" priority="15"/>
  </conditionalFormatting>
  <conditionalFormatting sqref="A11 P11">
    <cfRule type="duplicateValues" dxfId="328" priority="14"/>
  </conditionalFormatting>
  <conditionalFormatting sqref="A13:A14">
    <cfRule type="cellIs" dxfId="327" priority="27" operator="notEqual">
      <formula>100</formula>
    </cfRule>
  </conditionalFormatting>
  <conditionalFormatting sqref="A16:A17">
    <cfRule type="cellIs" dxfId="326" priority="25" operator="notEqual">
      <formula>100</formula>
    </cfRule>
  </conditionalFormatting>
  <conditionalFormatting sqref="A19 P19">
    <cfRule type="duplicateValues" dxfId="325" priority="12"/>
  </conditionalFormatting>
  <conditionalFormatting sqref="A20 P20">
    <cfRule type="duplicateValues" dxfId="324" priority="11"/>
  </conditionalFormatting>
  <conditionalFormatting sqref="A21 P21">
    <cfRule type="duplicateValues" dxfId="323" priority="10"/>
  </conditionalFormatting>
  <conditionalFormatting sqref="A22 P22">
    <cfRule type="duplicateValues" dxfId="322" priority="9"/>
  </conditionalFormatting>
  <conditionalFormatting sqref="A23 P23">
    <cfRule type="duplicateValues" dxfId="321" priority="8"/>
  </conditionalFormatting>
  <conditionalFormatting sqref="A24 P24">
    <cfRule type="duplicateValues" dxfId="320" priority="7"/>
  </conditionalFormatting>
  <conditionalFormatting sqref="A25 P25">
    <cfRule type="duplicateValues" dxfId="319" priority="6"/>
  </conditionalFormatting>
  <conditionalFormatting sqref="A26 P26">
    <cfRule type="duplicateValues" dxfId="318" priority="5"/>
  </conditionalFormatting>
  <conditionalFormatting sqref="A27 P27">
    <cfRule type="duplicateValues" dxfId="317" priority="4"/>
  </conditionalFormatting>
  <conditionalFormatting sqref="A28 P28">
    <cfRule type="duplicateValues" dxfId="316" priority="3"/>
  </conditionalFormatting>
  <conditionalFormatting sqref="C13:N13">
    <cfRule type="cellIs" dxfId="315" priority="2" operator="equal">
      <formula>0</formula>
    </cfRule>
  </conditionalFormatting>
  <conditionalFormatting sqref="C17:N17">
    <cfRule type="cellIs" dxfId="314" priority="1" operator="equal">
      <formula>0</formula>
    </cfRule>
  </conditionalFormatting>
  <conditionalFormatting sqref="P2 A2:A11">
    <cfRule type="duplicateValues" dxfId="313" priority="24"/>
  </conditionalFormatting>
  <conditionalFormatting sqref="P19 A19:A28">
    <cfRule type="duplicateValues" dxfId="312" priority="13"/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FB9A-ABE6-40D7-96E3-80DBCF50418A}">
  <dimension ref="A1:P29"/>
  <sheetViews>
    <sheetView workbookViewId="0">
      <selection activeCell="F15" sqref="F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8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>SUM(D7:N7)</f>
        <v>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5</v>
      </c>
      <c r="B9" s="2"/>
      <c r="D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>SUM(D10:N10)</f>
        <v>4</v>
      </c>
      <c r="B10" s="2"/>
      <c r="D10" s="3"/>
      <c r="E10" s="1">
        <v>4</v>
      </c>
      <c r="J10" s="3"/>
      <c r="P10" s="4">
        <v>4</v>
      </c>
    </row>
    <row r="11" spans="1:16" ht="19.5" customHeight="1" x14ac:dyDescent="0.25">
      <c r="A11" s="1">
        <f>SUM(D11:N11)</f>
        <v>1</v>
      </c>
      <c r="B11" s="2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>SUM(C2:C11)</f>
        <v>90</v>
      </c>
      <c r="D13" s="6">
        <f t="shared" ref="D13:N13" si="1">SUM(D2:D11)</f>
        <v>0</v>
      </c>
      <c r="E13" s="6">
        <f>SUM(E2:E11)</f>
        <v>10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100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22</v>
      </c>
      <c r="E15" s="17" t="s">
        <v>24</v>
      </c>
    </row>
    <row r="16" spans="1:16" s="11" customFormat="1" ht="14.25" customHeight="1" x14ac:dyDescent="0.25">
      <c r="A16" s="14">
        <f>SUM(C16:N16)</f>
        <v>100</v>
      </c>
      <c r="B16" s="9"/>
      <c r="C16" s="12">
        <v>15</v>
      </c>
      <c r="D16" s="12">
        <v>85</v>
      </c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15</v>
      </c>
      <c r="D17" s="13">
        <f t="shared" si="2"/>
        <v>80</v>
      </c>
      <c r="E17" s="13">
        <f>SUM(E19:E28)</f>
        <v>5</v>
      </c>
      <c r="F17" s="13">
        <f t="shared" si="2"/>
        <v>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3" si="3">SUM(C20:N20)</f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15</v>
      </c>
      <c r="B21" s="2"/>
      <c r="C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5</v>
      </c>
      <c r="B25" s="2"/>
      <c r="D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SUM(D26:N26)</f>
        <v>5</v>
      </c>
      <c r="B26" s="2"/>
      <c r="D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4</v>
      </c>
      <c r="B27" s="2"/>
      <c r="D27" s="3"/>
      <c r="E27" s="1">
        <v>4</v>
      </c>
      <c r="J27" s="3"/>
      <c r="P27" s="4">
        <v>4</v>
      </c>
    </row>
    <row r="28" spans="1:16" ht="20.25" customHeight="1" x14ac:dyDescent="0.25">
      <c r="A28" s="1">
        <f>SUM(D28:N28)</f>
        <v>1</v>
      </c>
      <c r="B28" s="2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11" priority="23"/>
  </conditionalFormatting>
  <conditionalFormatting sqref="A3 P3">
    <cfRule type="duplicateValues" dxfId="310" priority="22"/>
  </conditionalFormatting>
  <conditionalFormatting sqref="A4 P4">
    <cfRule type="duplicateValues" dxfId="309" priority="21"/>
  </conditionalFormatting>
  <conditionalFormatting sqref="A5 P5">
    <cfRule type="duplicateValues" dxfId="308" priority="20"/>
  </conditionalFormatting>
  <conditionalFormatting sqref="A6 P6">
    <cfRule type="duplicateValues" dxfId="307" priority="19"/>
  </conditionalFormatting>
  <conditionalFormatting sqref="A7 P7">
    <cfRule type="duplicateValues" dxfId="306" priority="18"/>
  </conditionalFormatting>
  <conditionalFormatting sqref="A8 P8">
    <cfRule type="duplicateValues" dxfId="305" priority="17"/>
  </conditionalFormatting>
  <conditionalFormatting sqref="A9 P9">
    <cfRule type="duplicateValues" dxfId="304" priority="16"/>
  </conditionalFormatting>
  <conditionalFormatting sqref="A10 P10">
    <cfRule type="duplicateValues" dxfId="303" priority="15"/>
  </conditionalFormatting>
  <conditionalFormatting sqref="A11 P11">
    <cfRule type="duplicateValues" dxfId="302" priority="14"/>
  </conditionalFormatting>
  <conditionalFormatting sqref="A13:A14">
    <cfRule type="cellIs" dxfId="301" priority="27" operator="notEqual">
      <formula>100</formula>
    </cfRule>
  </conditionalFormatting>
  <conditionalFormatting sqref="A16:A17">
    <cfRule type="cellIs" dxfId="300" priority="25" operator="notEqual">
      <formula>100</formula>
    </cfRule>
  </conditionalFormatting>
  <conditionalFormatting sqref="A19 P19">
    <cfRule type="duplicateValues" dxfId="299" priority="12"/>
  </conditionalFormatting>
  <conditionalFormatting sqref="A20 P20">
    <cfRule type="duplicateValues" dxfId="298" priority="11"/>
  </conditionalFormatting>
  <conditionalFormatting sqref="A21 P21">
    <cfRule type="duplicateValues" dxfId="297" priority="10"/>
  </conditionalFormatting>
  <conditionalFormatting sqref="A22 P22">
    <cfRule type="duplicateValues" dxfId="296" priority="9"/>
  </conditionalFormatting>
  <conditionalFormatting sqref="A23 P23">
    <cfRule type="duplicateValues" dxfId="295" priority="8"/>
  </conditionalFormatting>
  <conditionalFormatting sqref="A24 P24">
    <cfRule type="duplicateValues" dxfId="294" priority="7"/>
  </conditionalFormatting>
  <conditionalFormatting sqref="A25 P25">
    <cfRule type="duplicateValues" dxfId="293" priority="6"/>
  </conditionalFormatting>
  <conditionalFormatting sqref="A26 P26">
    <cfRule type="duplicateValues" dxfId="292" priority="5"/>
  </conditionalFormatting>
  <conditionalFormatting sqref="A27 P27">
    <cfRule type="duplicateValues" dxfId="291" priority="4"/>
  </conditionalFormatting>
  <conditionalFormatting sqref="A28 P28">
    <cfRule type="duplicateValues" dxfId="290" priority="3"/>
  </conditionalFormatting>
  <conditionalFormatting sqref="C13:N13">
    <cfRule type="cellIs" dxfId="289" priority="2" operator="equal">
      <formula>0</formula>
    </cfRule>
  </conditionalFormatting>
  <conditionalFormatting sqref="C17:N17">
    <cfRule type="cellIs" dxfId="288" priority="1" operator="equal">
      <formula>0</formula>
    </cfRule>
  </conditionalFormatting>
  <conditionalFormatting sqref="P2 A2:A11">
    <cfRule type="duplicateValues" dxfId="287" priority="24"/>
  </conditionalFormatting>
  <conditionalFormatting sqref="P19 A19:A28">
    <cfRule type="duplicateValues" dxfId="286" priority="13"/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0C3E6-BF3C-4724-9955-DC41927124E1}">
  <dimension ref="A1:P29"/>
  <sheetViews>
    <sheetView workbookViewId="0">
      <selection activeCell="K15" sqref="K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 t="shared" si="1"/>
        <v>4</v>
      </c>
      <c r="I13" s="6">
        <f>SUM(I2:I11)</f>
        <v>0</v>
      </c>
      <c r="J13" s="6">
        <f>SUM(J2:J11)</f>
        <v>1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5</v>
      </c>
      <c r="G14" s="10">
        <v>10</v>
      </c>
      <c r="H14" s="10">
        <v>4</v>
      </c>
      <c r="I14" s="10">
        <v>1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13</v>
      </c>
      <c r="D15" s="4" t="s">
        <v>12</v>
      </c>
      <c r="E15" s="4" t="s">
        <v>38</v>
      </c>
      <c r="F15" s="4" t="s">
        <v>75</v>
      </c>
      <c r="G15" s="4" t="s">
        <v>70</v>
      </c>
      <c r="H15" s="4" t="s">
        <v>29</v>
      </c>
      <c r="I15" s="4" t="s">
        <v>76</v>
      </c>
      <c r="J15" s="4" t="s">
        <v>116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20</v>
      </c>
      <c r="F16" s="12"/>
      <c r="G16" s="12"/>
      <c r="H16" s="12">
        <v>5</v>
      </c>
      <c r="I16" s="12">
        <v>15</v>
      </c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20</v>
      </c>
      <c r="F17" s="13">
        <f t="shared" si="2"/>
        <v>0</v>
      </c>
      <c r="G17" s="13">
        <f t="shared" si="2"/>
        <v>0</v>
      </c>
      <c r="H17" s="13">
        <f t="shared" si="2"/>
        <v>5</v>
      </c>
      <c r="I17" s="13">
        <f t="shared" si="2"/>
        <v>14</v>
      </c>
      <c r="J17" s="13">
        <f>SUM(J19:J28)</f>
        <v>1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G24" s="3"/>
      <c r="I24" s="1">
        <v>10</v>
      </c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I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85" priority="23"/>
  </conditionalFormatting>
  <conditionalFormatting sqref="A3 P3">
    <cfRule type="duplicateValues" dxfId="284" priority="22"/>
  </conditionalFormatting>
  <conditionalFormatting sqref="A4 P4">
    <cfRule type="duplicateValues" dxfId="283" priority="21"/>
  </conditionalFormatting>
  <conditionalFormatting sqref="A5 P5">
    <cfRule type="duplicateValues" dxfId="282" priority="20"/>
  </conditionalFormatting>
  <conditionalFormatting sqref="A6 P6">
    <cfRule type="duplicateValues" dxfId="281" priority="19"/>
  </conditionalFormatting>
  <conditionalFormatting sqref="A7 P7">
    <cfRule type="duplicateValues" dxfId="280" priority="18"/>
  </conditionalFormatting>
  <conditionalFormatting sqref="A8 P8">
    <cfRule type="duplicateValues" dxfId="279" priority="17"/>
  </conditionalFormatting>
  <conditionalFormatting sqref="A9 P9">
    <cfRule type="duplicateValues" dxfId="278" priority="16"/>
  </conditionalFormatting>
  <conditionalFormatting sqref="A10 P10">
    <cfRule type="duplicateValues" dxfId="277" priority="15"/>
  </conditionalFormatting>
  <conditionalFormatting sqref="A11 P11">
    <cfRule type="duplicateValues" dxfId="276" priority="14"/>
  </conditionalFormatting>
  <conditionalFormatting sqref="A13:A14">
    <cfRule type="cellIs" dxfId="275" priority="27" operator="notEqual">
      <formula>100</formula>
    </cfRule>
  </conditionalFormatting>
  <conditionalFormatting sqref="A16:A17">
    <cfRule type="cellIs" dxfId="274" priority="25" operator="notEqual">
      <formula>100</formula>
    </cfRule>
  </conditionalFormatting>
  <conditionalFormatting sqref="A19 P19">
    <cfRule type="duplicateValues" dxfId="273" priority="12"/>
  </conditionalFormatting>
  <conditionalFormatting sqref="A20 P20">
    <cfRule type="duplicateValues" dxfId="272" priority="11"/>
  </conditionalFormatting>
  <conditionalFormatting sqref="A21 P21">
    <cfRule type="duplicateValues" dxfId="271" priority="10"/>
  </conditionalFormatting>
  <conditionalFormatting sqref="A22 P22">
    <cfRule type="duplicateValues" dxfId="270" priority="9"/>
  </conditionalFormatting>
  <conditionalFormatting sqref="A23 P23">
    <cfRule type="duplicateValues" dxfId="269" priority="8"/>
  </conditionalFormatting>
  <conditionalFormatting sqref="A24 P24">
    <cfRule type="duplicateValues" dxfId="268" priority="7"/>
  </conditionalFormatting>
  <conditionalFormatting sqref="A25 P25">
    <cfRule type="duplicateValues" dxfId="267" priority="6"/>
  </conditionalFormatting>
  <conditionalFormatting sqref="A26 P26">
    <cfRule type="duplicateValues" dxfId="266" priority="5"/>
  </conditionalFormatting>
  <conditionalFormatting sqref="A27 P27">
    <cfRule type="duplicateValues" dxfId="265" priority="4"/>
  </conditionalFormatting>
  <conditionalFormatting sqref="A28 P28">
    <cfRule type="duplicateValues" dxfId="264" priority="3"/>
  </conditionalFormatting>
  <conditionalFormatting sqref="C13:N13">
    <cfRule type="cellIs" dxfId="263" priority="2" operator="equal">
      <formula>0</formula>
    </cfRule>
  </conditionalFormatting>
  <conditionalFormatting sqref="C17:N17">
    <cfRule type="cellIs" dxfId="262" priority="1" operator="equal">
      <formula>0</formula>
    </cfRule>
  </conditionalFormatting>
  <conditionalFormatting sqref="P2 A2:A11">
    <cfRule type="duplicateValues" dxfId="261" priority="24"/>
  </conditionalFormatting>
  <conditionalFormatting sqref="P19 A19:A28">
    <cfRule type="duplicateValues" dxfId="260" priority="13"/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C06A-D8D4-4C55-9402-7CFB7FBF7B63}">
  <dimension ref="A1:P29"/>
  <sheetViews>
    <sheetView workbookViewId="0">
      <selection activeCell="G15" sqref="G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E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>SUM(E2:E11)</f>
        <v>30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40</v>
      </c>
      <c r="D14" s="10">
        <v>30</v>
      </c>
      <c r="E14" s="10">
        <v>30</v>
      </c>
      <c r="F14" s="10">
        <v>0</v>
      </c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65</v>
      </c>
      <c r="D15" s="4" t="s">
        <v>12</v>
      </c>
      <c r="E15" s="4" t="s">
        <v>29</v>
      </c>
      <c r="F15" s="4" t="s">
        <v>66</v>
      </c>
    </row>
    <row r="16" spans="1:16" s="11" customFormat="1" ht="14.25" customHeight="1" x14ac:dyDescent="0.25">
      <c r="A16" s="14">
        <f>SUM(C16:N16)</f>
        <v>100</v>
      </c>
      <c r="B16" s="9"/>
      <c r="C16" s="12">
        <v>0</v>
      </c>
      <c r="D16" s="12">
        <v>30</v>
      </c>
      <c r="E16" s="12">
        <v>30</v>
      </c>
      <c r="F16" s="12">
        <v>40</v>
      </c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30</v>
      </c>
      <c r="E17" s="13">
        <f t="shared" si="2"/>
        <v>30</v>
      </c>
      <c r="F17" s="13">
        <f>SUM(F19:F28)</f>
        <v>40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>
        <v>20</v>
      </c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E20" s="3"/>
      <c r="F20" s="1">
        <v>20</v>
      </c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ref="A21:A28" si="3">SUM(C21:N21)</f>
        <v>15</v>
      </c>
      <c r="B21" s="2"/>
      <c r="C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E26" s="1">
        <v>5</v>
      </c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E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59" priority="23"/>
  </conditionalFormatting>
  <conditionalFormatting sqref="A3 P3">
    <cfRule type="duplicateValues" dxfId="258" priority="22"/>
  </conditionalFormatting>
  <conditionalFormatting sqref="A4 P4">
    <cfRule type="duplicateValues" dxfId="257" priority="21"/>
  </conditionalFormatting>
  <conditionalFormatting sqref="A5 P5">
    <cfRule type="duplicateValues" dxfId="256" priority="20"/>
  </conditionalFormatting>
  <conditionalFormatting sqref="A6 P6">
    <cfRule type="duplicateValues" dxfId="255" priority="19"/>
  </conditionalFormatting>
  <conditionalFormatting sqref="A7 P7">
    <cfRule type="duplicateValues" dxfId="254" priority="18"/>
  </conditionalFormatting>
  <conditionalFormatting sqref="A8 P8">
    <cfRule type="duplicateValues" dxfId="253" priority="17"/>
  </conditionalFormatting>
  <conditionalFormatting sqref="A9 P9">
    <cfRule type="duplicateValues" dxfId="252" priority="16"/>
  </conditionalFormatting>
  <conditionalFormatting sqref="A10 P10">
    <cfRule type="duplicateValues" dxfId="251" priority="15"/>
  </conditionalFormatting>
  <conditionalFormatting sqref="A11 P11">
    <cfRule type="duplicateValues" dxfId="250" priority="14"/>
  </conditionalFormatting>
  <conditionalFormatting sqref="A13:A14">
    <cfRule type="cellIs" dxfId="249" priority="27" operator="notEqual">
      <formula>100</formula>
    </cfRule>
  </conditionalFormatting>
  <conditionalFormatting sqref="A16:A17">
    <cfRule type="cellIs" dxfId="248" priority="25" operator="notEqual">
      <formula>100</formula>
    </cfRule>
  </conditionalFormatting>
  <conditionalFormatting sqref="A19 P19">
    <cfRule type="duplicateValues" dxfId="247" priority="12"/>
  </conditionalFormatting>
  <conditionalFormatting sqref="A20 P20">
    <cfRule type="duplicateValues" dxfId="246" priority="11"/>
  </conditionalFormatting>
  <conditionalFormatting sqref="A21 P21">
    <cfRule type="duplicateValues" dxfId="245" priority="10"/>
  </conditionalFormatting>
  <conditionalFormatting sqref="A22 P22">
    <cfRule type="duplicateValues" dxfId="244" priority="9"/>
  </conditionalFormatting>
  <conditionalFormatting sqref="A23 P23">
    <cfRule type="duplicateValues" dxfId="243" priority="8"/>
  </conditionalFormatting>
  <conditionalFormatting sqref="A24 P24">
    <cfRule type="duplicateValues" dxfId="242" priority="7"/>
  </conditionalFormatting>
  <conditionalFormatting sqref="A25 P25">
    <cfRule type="duplicateValues" dxfId="241" priority="6"/>
  </conditionalFormatting>
  <conditionalFormatting sqref="A26 P26">
    <cfRule type="duplicateValues" dxfId="240" priority="5"/>
  </conditionalFormatting>
  <conditionalFormatting sqref="A27 P27">
    <cfRule type="duplicateValues" dxfId="239" priority="4"/>
  </conditionalFormatting>
  <conditionalFormatting sqref="A28 P28">
    <cfRule type="duplicateValues" dxfId="238" priority="3"/>
  </conditionalFormatting>
  <conditionalFormatting sqref="C13:N13">
    <cfRule type="cellIs" dxfId="237" priority="2" operator="equal">
      <formula>0</formula>
    </cfRule>
  </conditionalFormatting>
  <conditionalFormatting sqref="C17:N17">
    <cfRule type="cellIs" dxfId="236" priority="1" operator="equal">
      <formula>0</formula>
    </cfRule>
  </conditionalFormatting>
  <conditionalFormatting sqref="P2 A2:A11">
    <cfRule type="duplicateValues" dxfId="235" priority="24"/>
  </conditionalFormatting>
  <conditionalFormatting sqref="P19 A19:A28">
    <cfRule type="duplicateValues" dxfId="234" priority="13"/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A5D7-637F-43E5-A8DB-2B3975FD4374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>SUM(E2:E11)</f>
        <v>26</v>
      </c>
      <c r="F13" s="6">
        <f t="shared" si="1"/>
        <v>0</v>
      </c>
      <c r="G13" s="6">
        <f>SUM(G2:G11)</f>
        <v>4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65</v>
      </c>
      <c r="D15" s="4" t="s">
        <v>12</v>
      </c>
      <c r="E15" s="4" t="s">
        <v>29</v>
      </c>
      <c r="F15" s="4" t="s">
        <v>66</v>
      </c>
      <c r="G15" s="4" t="s">
        <v>67</v>
      </c>
      <c r="H15" s="4" t="s">
        <v>68</v>
      </c>
    </row>
    <row r="16" spans="1:16" s="11" customFormat="1" ht="14.25" customHeight="1" x14ac:dyDescent="0.25">
      <c r="A16" s="14">
        <f>SUM(C16:N16)</f>
        <v>0</v>
      </c>
      <c r="B16" s="9"/>
      <c r="C16" s="12"/>
      <c r="D16" s="12"/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30</v>
      </c>
      <c r="E17" s="13">
        <f>SUM(E19:E28)</f>
        <v>26</v>
      </c>
      <c r="F17" s="13">
        <f>SUM(F19:F28)</f>
        <v>40</v>
      </c>
      <c r="G17" s="13">
        <f t="shared" si="2"/>
        <v>0</v>
      </c>
      <c r="H17" s="13">
        <f>SUM(H19:H28)</f>
        <v>4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>
        <v>20</v>
      </c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E20" s="3"/>
      <c r="F20" s="1">
        <v>20</v>
      </c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ref="A21:A28" si="3">SUM(C21:N21)</f>
        <v>15</v>
      </c>
      <c r="B21" s="2"/>
      <c r="C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E26" s="1">
        <v>5</v>
      </c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33" priority="23"/>
  </conditionalFormatting>
  <conditionalFormatting sqref="A3 P3">
    <cfRule type="duplicateValues" dxfId="232" priority="22"/>
  </conditionalFormatting>
  <conditionalFormatting sqref="A4 P4">
    <cfRule type="duplicateValues" dxfId="231" priority="21"/>
  </conditionalFormatting>
  <conditionalFormatting sqref="A5 P5">
    <cfRule type="duplicateValues" dxfId="230" priority="20"/>
  </conditionalFormatting>
  <conditionalFormatting sqref="A6 P6">
    <cfRule type="duplicateValues" dxfId="229" priority="19"/>
  </conditionalFormatting>
  <conditionalFormatting sqref="A7 P7">
    <cfRule type="duplicateValues" dxfId="228" priority="18"/>
  </conditionalFormatting>
  <conditionalFormatting sqref="A8 P8">
    <cfRule type="duplicateValues" dxfId="227" priority="17"/>
  </conditionalFormatting>
  <conditionalFormatting sqref="A9 P9">
    <cfRule type="duplicateValues" dxfId="226" priority="16"/>
  </conditionalFormatting>
  <conditionalFormatting sqref="A10 P10">
    <cfRule type="duplicateValues" dxfId="225" priority="15"/>
  </conditionalFormatting>
  <conditionalFormatting sqref="A11 P11">
    <cfRule type="duplicateValues" dxfId="224" priority="14"/>
  </conditionalFormatting>
  <conditionalFormatting sqref="A13:A14">
    <cfRule type="cellIs" dxfId="223" priority="26" operator="notEqual">
      <formula>100</formula>
    </cfRule>
  </conditionalFormatting>
  <conditionalFormatting sqref="A16:A17">
    <cfRule type="cellIs" dxfId="222" priority="25" operator="notEqual">
      <formula>100</formula>
    </cfRule>
  </conditionalFormatting>
  <conditionalFormatting sqref="A19 P19">
    <cfRule type="duplicateValues" dxfId="221" priority="12"/>
  </conditionalFormatting>
  <conditionalFormatting sqref="A20 P20">
    <cfRule type="duplicateValues" dxfId="220" priority="11"/>
  </conditionalFormatting>
  <conditionalFormatting sqref="A21 P21">
    <cfRule type="duplicateValues" dxfId="219" priority="10"/>
  </conditionalFormatting>
  <conditionalFormatting sqref="A22 P22">
    <cfRule type="duplicateValues" dxfId="218" priority="9"/>
  </conditionalFormatting>
  <conditionalFormatting sqref="A23 P23">
    <cfRule type="duplicateValues" dxfId="217" priority="8"/>
  </conditionalFormatting>
  <conditionalFormatting sqref="A24 P24">
    <cfRule type="duplicateValues" dxfId="216" priority="7"/>
  </conditionalFormatting>
  <conditionalFormatting sqref="A25 P25">
    <cfRule type="duplicateValues" dxfId="215" priority="6"/>
  </conditionalFormatting>
  <conditionalFormatting sqref="A26 P26">
    <cfRule type="duplicateValues" dxfId="214" priority="5"/>
  </conditionalFormatting>
  <conditionalFormatting sqref="A27 P27">
    <cfRule type="duplicateValues" dxfId="213" priority="4"/>
  </conditionalFormatting>
  <conditionalFormatting sqref="A28 P28">
    <cfRule type="duplicateValues" dxfId="212" priority="3"/>
  </conditionalFormatting>
  <conditionalFormatting sqref="C13:N13">
    <cfRule type="cellIs" dxfId="211" priority="2" operator="equal">
      <formula>0</formula>
    </cfRule>
  </conditionalFormatting>
  <conditionalFormatting sqref="C17:N17">
    <cfRule type="cellIs" dxfId="210" priority="1" operator="equal">
      <formula>0</formula>
    </cfRule>
  </conditionalFormatting>
  <conditionalFormatting sqref="P2 A2:A11">
    <cfRule type="duplicateValues" dxfId="209" priority="24"/>
  </conditionalFormatting>
  <conditionalFormatting sqref="P19 A19:A28">
    <cfRule type="duplicateValues" dxfId="208" priority="13"/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21368-9717-4882-9D0B-3AC00C76EE00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 t="shared" si="1"/>
        <v>21</v>
      </c>
      <c r="F13" s="6">
        <f t="shared" si="1"/>
        <v>0</v>
      </c>
      <c r="G13" s="6">
        <f>SUM(G2:G11)</f>
        <v>9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65</v>
      </c>
      <c r="D15" s="4" t="s">
        <v>12</v>
      </c>
      <c r="E15" s="4" t="s">
        <v>29</v>
      </c>
      <c r="F15" s="4" t="s">
        <v>66</v>
      </c>
      <c r="G15" s="4" t="s">
        <v>67</v>
      </c>
      <c r="H15" s="4" t="s">
        <v>68</v>
      </c>
    </row>
    <row r="16" spans="1:16" s="11" customFormat="1" ht="14.25" customHeight="1" x14ac:dyDescent="0.25">
      <c r="A16" s="14">
        <f>SUM(C16:N16)</f>
        <v>0</v>
      </c>
      <c r="B16" s="9"/>
      <c r="C16" s="12"/>
      <c r="D16" s="12"/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0</v>
      </c>
      <c r="D17" s="13">
        <f t="shared" si="2"/>
        <v>30</v>
      </c>
      <c r="E17" s="13">
        <f t="shared" si="2"/>
        <v>21</v>
      </c>
      <c r="F17" s="13">
        <f>SUM(F19:F28)</f>
        <v>40</v>
      </c>
      <c r="G17" s="13">
        <f t="shared" si="2"/>
        <v>0</v>
      </c>
      <c r="H17" s="13">
        <f>SUM(H19:H28)</f>
        <v>9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>
        <v>20</v>
      </c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E20" s="3"/>
      <c r="F20" s="1">
        <v>20</v>
      </c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ref="A21:A28" si="3">SUM(C21:N21)</f>
        <v>15</v>
      </c>
      <c r="B21" s="2"/>
      <c r="C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07" priority="23"/>
  </conditionalFormatting>
  <conditionalFormatting sqref="A3 P3">
    <cfRule type="duplicateValues" dxfId="206" priority="22"/>
  </conditionalFormatting>
  <conditionalFormatting sqref="A4 P4">
    <cfRule type="duplicateValues" dxfId="205" priority="21"/>
  </conditionalFormatting>
  <conditionalFormatting sqref="A5 P5">
    <cfRule type="duplicateValues" dxfId="204" priority="20"/>
  </conditionalFormatting>
  <conditionalFormatting sqref="A6 P6">
    <cfRule type="duplicateValues" dxfId="203" priority="19"/>
  </conditionalFormatting>
  <conditionalFormatting sqref="A7 P7">
    <cfRule type="duplicateValues" dxfId="202" priority="18"/>
  </conditionalFormatting>
  <conditionalFormatting sqref="A8 P8">
    <cfRule type="duplicateValues" dxfId="201" priority="17"/>
  </conditionalFormatting>
  <conditionalFormatting sqref="A9 P9">
    <cfRule type="duplicateValues" dxfId="200" priority="16"/>
  </conditionalFormatting>
  <conditionalFormatting sqref="A10 P10">
    <cfRule type="duplicateValues" dxfId="199" priority="15"/>
  </conditionalFormatting>
  <conditionalFormatting sqref="A11 P11">
    <cfRule type="duplicateValues" dxfId="198" priority="14"/>
  </conditionalFormatting>
  <conditionalFormatting sqref="A13:A14">
    <cfRule type="cellIs" dxfId="197" priority="26" operator="notEqual">
      <formula>100</formula>
    </cfRule>
  </conditionalFormatting>
  <conditionalFormatting sqref="A16:A17">
    <cfRule type="cellIs" dxfId="196" priority="25" operator="notEqual">
      <formula>100</formula>
    </cfRule>
  </conditionalFormatting>
  <conditionalFormatting sqref="A19 P19">
    <cfRule type="duplicateValues" dxfId="195" priority="12"/>
  </conditionalFormatting>
  <conditionalFormatting sqref="A20 P20">
    <cfRule type="duplicateValues" dxfId="194" priority="11"/>
  </conditionalFormatting>
  <conditionalFormatting sqref="A21 P21">
    <cfRule type="duplicateValues" dxfId="193" priority="10"/>
  </conditionalFormatting>
  <conditionalFormatting sqref="A22 P22">
    <cfRule type="duplicateValues" dxfId="192" priority="9"/>
  </conditionalFormatting>
  <conditionalFormatting sqref="A23 P23">
    <cfRule type="duplicateValues" dxfId="191" priority="8"/>
  </conditionalFormatting>
  <conditionalFormatting sqref="A24 P24">
    <cfRule type="duplicateValues" dxfId="190" priority="7"/>
  </conditionalFormatting>
  <conditionalFormatting sqref="A25 P25">
    <cfRule type="duplicateValues" dxfId="189" priority="6"/>
  </conditionalFormatting>
  <conditionalFormatting sqref="A26 P26">
    <cfRule type="duplicateValues" dxfId="188" priority="5"/>
  </conditionalFormatting>
  <conditionalFormatting sqref="A27 P27">
    <cfRule type="duplicateValues" dxfId="187" priority="4"/>
  </conditionalFormatting>
  <conditionalFormatting sqref="A28 P28">
    <cfRule type="duplicateValues" dxfId="186" priority="3"/>
  </conditionalFormatting>
  <conditionalFormatting sqref="C13:N13">
    <cfRule type="cellIs" dxfId="185" priority="2" operator="equal">
      <formula>0</formula>
    </cfRule>
  </conditionalFormatting>
  <conditionalFormatting sqref="C17:N17">
    <cfRule type="cellIs" dxfId="184" priority="1" operator="equal">
      <formula>0</formula>
    </cfRule>
  </conditionalFormatting>
  <conditionalFormatting sqref="P2 A2:A11">
    <cfRule type="duplicateValues" dxfId="183" priority="24"/>
  </conditionalFormatting>
  <conditionalFormatting sqref="P19 A19:A28">
    <cfRule type="duplicateValues" dxfId="182" priority="13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81B6-27E1-4272-A52D-3D9E00E1FCD9}">
  <dimension ref="A1:P29"/>
  <sheetViews>
    <sheetView workbookViewId="0">
      <selection activeCell="G15" sqref="G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D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D10" s="3"/>
      <c r="E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90</v>
      </c>
      <c r="D13" s="6">
        <f t="shared" si="1"/>
        <v>0</v>
      </c>
      <c r="E13" s="6">
        <f t="shared" si="1"/>
        <v>10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100</v>
      </c>
      <c r="D14" s="10">
        <v>0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0</v>
      </c>
      <c r="D15" s="4" t="s">
        <v>22</v>
      </c>
      <c r="E15" s="17" t="s">
        <v>24</v>
      </c>
      <c r="F15" s="17" t="s">
        <v>117</v>
      </c>
    </row>
    <row r="16" spans="1:16" s="11" customFormat="1" ht="14.25" customHeight="1" x14ac:dyDescent="0.25">
      <c r="A16" s="14">
        <f>SUM(C16:N16)</f>
        <v>100</v>
      </c>
      <c r="B16" s="9"/>
      <c r="C16" s="12">
        <v>15</v>
      </c>
      <c r="D16" s="12">
        <v>85</v>
      </c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15</v>
      </c>
      <c r="D17" s="13">
        <f t="shared" si="2"/>
        <v>70</v>
      </c>
      <c r="E17" s="13">
        <f t="shared" si="2"/>
        <v>5</v>
      </c>
      <c r="F17" s="13">
        <f t="shared" si="2"/>
        <v>10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15</v>
      </c>
      <c r="B21" s="2"/>
      <c r="C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G23" s="1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D24" s="1">
        <v>10</v>
      </c>
      <c r="G24" s="3"/>
      <c r="H24" s="1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SUM(F25:N25)</f>
        <v>5</v>
      </c>
      <c r="B25" s="2"/>
      <c r="F25" s="1">
        <v>5</v>
      </c>
      <c r="I25" s="1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F26" s="1">
        <v>5</v>
      </c>
      <c r="J26" s="1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D27" s="3"/>
      <c r="E27" s="1">
        <v>4</v>
      </c>
      <c r="J27" s="3"/>
      <c r="K27" s="1"/>
      <c r="P27" s="4">
        <v>4</v>
      </c>
    </row>
    <row r="28" spans="1:16" ht="20.25" customHeight="1" x14ac:dyDescent="0.25">
      <c r="A28" s="1">
        <f t="shared" si="3"/>
        <v>1</v>
      </c>
      <c r="B28" s="2"/>
      <c r="D28" s="3"/>
      <c r="E28" s="1">
        <v>1</v>
      </c>
      <c r="J28" s="3"/>
      <c r="L28" s="1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81" priority="23"/>
  </conditionalFormatting>
  <conditionalFormatting sqref="A3 P3">
    <cfRule type="duplicateValues" dxfId="180" priority="22"/>
  </conditionalFormatting>
  <conditionalFormatting sqref="A4 P4">
    <cfRule type="duplicateValues" dxfId="179" priority="21"/>
  </conditionalFormatting>
  <conditionalFormatting sqref="A5 P5">
    <cfRule type="duplicateValues" dxfId="178" priority="20"/>
  </conditionalFormatting>
  <conditionalFormatting sqref="A6 P6">
    <cfRule type="duplicateValues" dxfId="177" priority="19"/>
  </conditionalFormatting>
  <conditionalFormatting sqref="A7 P7">
    <cfRule type="duplicateValues" dxfId="176" priority="18"/>
  </conditionalFormatting>
  <conditionalFormatting sqref="A8 P8">
    <cfRule type="duplicateValues" dxfId="175" priority="17"/>
  </conditionalFormatting>
  <conditionalFormatting sqref="A9 P9">
    <cfRule type="duplicateValues" dxfId="174" priority="16"/>
  </conditionalFormatting>
  <conditionalFormatting sqref="A10 P10">
    <cfRule type="duplicateValues" dxfId="173" priority="15"/>
  </conditionalFormatting>
  <conditionalFormatting sqref="A11 P11">
    <cfRule type="duplicateValues" dxfId="172" priority="14"/>
  </conditionalFormatting>
  <conditionalFormatting sqref="A13:A14">
    <cfRule type="cellIs" dxfId="171" priority="27" operator="notEqual">
      <formula>100</formula>
    </cfRule>
  </conditionalFormatting>
  <conditionalFormatting sqref="A16:A17">
    <cfRule type="cellIs" dxfId="170" priority="25" operator="notEqual">
      <formula>100</formula>
    </cfRule>
  </conditionalFormatting>
  <conditionalFormatting sqref="A19 P19">
    <cfRule type="duplicateValues" dxfId="169" priority="12"/>
  </conditionalFormatting>
  <conditionalFormatting sqref="A20 P20">
    <cfRule type="duplicateValues" dxfId="168" priority="11"/>
  </conditionalFormatting>
  <conditionalFormatting sqref="A21 P21">
    <cfRule type="duplicateValues" dxfId="167" priority="10"/>
  </conditionalFormatting>
  <conditionalFormatting sqref="A22 P22">
    <cfRule type="duplicateValues" dxfId="166" priority="9"/>
  </conditionalFormatting>
  <conditionalFormatting sqref="A23 P23">
    <cfRule type="duplicateValues" dxfId="165" priority="8"/>
  </conditionalFormatting>
  <conditionalFormatting sqref="A24 P24">
    <cfRule type="duplicateValues" dxfId="164" priority="7"/>
  </conditionalFormatting>
  <conditionalFormatting sqref="A25 P25">
    <cfRule type="duplicateValues" dxfId="163" priority="6"/>
  </conditionalFormatting>
  <conditionalFormatting sqref="A26 P26">
    <cfRule type="duplicateValues" dxfId="162" priority="5"/>
  </conditionalFormatting>
  <conditionalFormatting sqref="A27 P27">
    <cfRule type="duplicateValues" dxfId="161" priority="4"/>
  </conditionalFormatting>
  <conditionalFormatting sqref="A28 P28">
    <cfRule type="duplicateValues" dxfId="160" priority="3"/>
  </conditionalFormatting>
  <conditionalFormatting sqref="C13:N13">
    <cfRule type="cellIs" dxfId="159" priority="1" operator="equal">
      <formula>0</formula>
    </cfRule>
  </conditionalFormatting>
  <conditionalFormatting sqref="C17:N17">
    <cfRule type="cellIs" dxfId="158" priority="2" operator="equal">
      <formula>0</formula>
    </cfRule>
  </conditionalFormatting>
  <conditionalFormatting sqref="P2 A2:A11">
    <cfRule type="duplicateValues" dxfId="157" priority="24"/>
  </conditionalFormatting>
  <conditionalFormatting sqref="P19 A19:A28">
    <cfRule type="duplicateValues" dxfId="156" priority="13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149D4-8673-4BC0-B619-9E2F95A2B206}">
  <dimension ref="A1:P29"/>
  <sheetViews>
    <sheetView workbookViewId="0">
      <selection activeCell="G15" sqref="G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25</v>
      </c>
      <c r="E13" s="6">
        <f t="shared" si="1"/>
        <v>25</v>
      </c>
      <c r="F13" s="6">
        <f>SUM(F2:F11)</f>
        <v>10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40</v>
      </c>
      <c r="D14" s="10">
        <v>30</v>
      </c>
      <c r="E14" s="10">
        <v>25</v>
      </c>
      <c r="F14" s="10">
        <v>5</v>
      </c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26</v>
      </c>
      <c r="D15" s="4" t="s">
        <v>12</v>
      </c>
      <c r="E15" s="4" t="s">
        <v>69</v>
      </c>
      <c r="F15" s="4" t="s">
        <v>29</v>
      </c>
    </row>
    <row r="16" spans="1:16" s="11" customFormat="1" ht="14.25" customHeight="1" x14ac:dyDescent="0.25">
      <c r="A16" s="14">
        <f>SUM(C16:N16)</f>
        <v>100</v>
      </c>
      <c r="B16" s="9"/>
      <c r="C16" s="12">
        <v>60</v>
      </c>
      <c r="D16" s="12">
        <v>30</v>
      </c>
      <c r="E16" s="12">
        <v>0</v>
      </c>
      <c r="F16" s="12">
        <v>10</v>
      </c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50</v>
      </c>
      <c r="D17" s="13">
        <f t="shared" si="2"/>
        <v>35</v>
      </c>
      <c r="E17" s="13">
        <f t="shared" si="2"/>
        <v>0</v>
      </c>
      <c r="F17" s="13">
        <f t="shared" si="2"/>
        <v>15</v>
      </c>
      <c r="G17" s="13">
        <f t="shared" si="2"/>
        <v>0</v>
      </c>
      <c r="H17" s="13">
        <f t="shared" si="2"/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>SUM(D23:N23)</f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SUM(C24:N24)</f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55" priority="23"/>
  </conditionalFormatting>
  <conditionalFormatting sqref="A3 P3">
    <cfRule type="duplicateValues" dxfId="154" priority="22"/>
  </conditionalFormatting>
  <conditionalFormatting sqref="A4 P4">
    <cfRule type="duplicateValues" dxfId="153" priority="21"/>
  </conditionalFormatting>
  <conditionalFormatting sqref="A5 P5">
    <cfRule type="duplicateValues" dxfId="152" priority="20"/>
  </conditionalFormatting>
  <conditionalFormatting sqref="A6 P6">
    <cfRule type="duplicateValues" dxfId="151" priority="19"/>
  </conditionalFormatting>
  <conditionalFormatting sqref="A7 P7">
    <cfRule type="duplicateValues" dxfId="150" priority="18"/>
  </conditionalFormatting>
  <conditionalFormatting sqref="A8 P8">
    <cfRule type="duplicateValues" dxfId="149" priority="17"/>
  </conditionalFormatting>
  <conditionalFormatting sqref="A9 P9">
    <cfRule type="duplicateValues" dxfId="148" priority="16"/>
  </conditionalFormatting>
  <conditionalFormatting sqref="A10 P10">
    <cfRule type="duplicateValues" dxfId="147" priority="15"/>
  </conditionalFormatting>
  <conditionalFormatting sqref="A11 P11">
    <cfRule type="duplicateValues" dxfId="146" priority="14"/>
  </conditionalFormatting>
  <conditionalFormatting sqref="A13:A14">
    <cfRule type="cellIs" dxfId="145" priority="26" operator="notEqual">
      <formula>100</formula>
    </cfRule>
  </conditionalFormatting>
  <conditionalFormatting sqref="A16:A17">
    <cfRule type="cellIs" dxfId="144" priority="25" operator="notEqual">
      <formula>100</formula>
    </cfRule>
  </conditionalFormatting>
  <conditionalFormatting sqref="A19 P19">
    <cfRule type="duplicateValues" dxfId="143" priority="12"/>
  </conditionalFormatting>
  <conditionalFormatting sqref="A20 P20">
    <cfRule type="duplicateValues" dxfId="142" priority="11"/>
  </conditionalFormatting>
  <conditionalFormatting sqref="A21 P21">
    <cfRule type="duplicateValues" dxfId="141" priority="10"/>
  </conditionalFormatting>
  <conditionalFormatting sqref="A22 P22">
    <cfRule type="duplicateValues" dxfId="140" priority="9"/>
  </conditionalFormatting>
  <conditionalFormatting sqref="A23 P23">
    <cfRule type="duplicateValues" dxfId="139" priority="8"/>
  </conditionalFormatting>
  <conditionalFormatting sqref="A24 P24">
    <cfRule type="duplicateValues" dxfId="138" priority="7"/>
  </conditionalFormatting>
  <conditionalFormatting sqref="A25 P25">
    <cfRule type="duplicateValues" dxfId="137" priority="6"/>
  </conditionalFormatting>
  <conditionalFormatting sqref="A26 P26">
    <cfRule type="duplicateValues" dxfId="136" priority="5"/>
  </conditionalFormatting>
  <conditionalFormatting sqref="A27 P27">
    <cfRule type="duplicateValues" dxfId="135" priority="4"/>
  </conditionalFormatting>
  <conditionalFormatting sqref="A28 P28">
    <cfRule type="duplicateValues" dxfId="134" priority="3"/>
  </conditionalFormatting>
  <conditionalFormatting sqref="C13:N13">
    <cfRule type="cellIs" dxfId="133" priority="2" operator="equal">
      <formula>0</formula>
    </cfRule>
  </conditionalFormatting>
  <conditionalFormatting sqref="C17:N17">
    <cfRule type="cellIs" dxfId="132" priority="1" operator="equal">
      <formula>0</formula>
    </cfRule>
  </conditionalFormatting>
  <conditionalFormatting sqref="P2 A2:A11">
    <cfRule type="duplicateValues" dxfId="131" priority="24"/>
  </conditionalFormatting>
  <conditionalFormatting sqref="P19 A19:A28">
    <cfRule type="duplicateValues" dxfId="130" priority="13"/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1245A-93A8-48E7-AC6B-99AF67FD5C15}">
  <dimension ref="A1:P29"/>
  <sheetViews>
    <sheetView workbookViewId="0">
      <selection activeCell="L15" sqref="L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 t="shared" si="1"/>
        <v>4</v>
      </c>
      <c r="I13" s="6">
        <f>SUM(I2:I11)</f>
        <v>1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5</v>
      </c>
      <c r="H14" s="10">
        <v>4</v>
      </c>
      <c r="I14" s="10">
        <v>1</v>
      </c>
      <c r="J14" s="10">
        <v>0</v>
      </c>
      <c r="K14" s="10">
        <v>0</v>
      </c>
      <c r="L14" s="10"/>
      <c r="M14" s="10"/>
      <c r="N14" s="10"/>
    </row>
    <row r="15" spans="1:16" ht="20.25" customHeight="1" x14ac:dyDescent="0.25">
      <c r="A15" s="1"/>
      <c r="B15" s="2"/>
      <c r="C15" s="4" t="s">
        <v>108</v>
      </c>
      <c r="D15" s="4" t="s">
        <v>118</v>
      </c>
      <c r="E15" s="4" t="s">
        <v>71</v>
      </c>
      <c r="F15" s="4" t="s">
        <v>70</v>
      </c>
      <c r="G15" s="4" t="s">
        <v>119</v>
      </c>
      <c r="H15" s="4" t="s">
        <v>120</v>
      </c>
      <c r="I15" s="4" t="s">
        <v>121</v>
      </c>
      <c r="J15" s="4" t="s">
        <v>36</v>
      </c>
      <c r="K15" s="4" t="s">
        <v>68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20</v>
      </c>
      <c r="F16" s="12">
        <v>10</v>
      </c>
      <c r="G16" s="12">
        <v>5</v>
      </c>
      <c r="H16" s="12">
        <v>0</v>
      </c>
      <c r="I16" s="12">
        <v>0</v>
      </c>
      <c r="J16" s="15">
        <v>4</v>
      </c>
      <c r="K16" s="12">
        <v>1</v>
      </c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20</v>
      </c>
      <c r="F17" s="13">
        <f t="shared" si="2"/>
        <v>10</v>
      </c>
      <c r="G17" s="13">
        <f t="shared" si="2"/>
        <v>5</v>
      </c>
      <c r="H17" s="13">
        <f t="shared" si="2"/>
        <v>0</v>
      </c>
      <c r="I17" s="13">
        <f t="shared" si="2"/>
        <v>0</v>
      </c>
      <c r="J17" s="13">
        <f t="shared" si="2"/>
        <v>4</v>
      </c>
      <c r="K17" s="13">
        <f>SUM(K19:K28)</f>
        <v>1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SUM(C22:N22)</f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K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29" priority="23"/>
  </conditionalFormatting>
  <conditionalFormatting sqref="A3 P3">
    <cfRule type="duplicateValues" dxfId="128" priority="22"/>
  </conditionalFormatting>
  <conditionalFormatting sqref="A4 P4">
    <cfRule type="duplicateValues" dxfId="127" priority="21"/>
  </conditionalFormatting>
  <conditionalFormatting sqref="A5 P5">
    <cfRule type="duplicateValues" dxfId="126" priority="20"/>
  </conditionalFormatting>
  <conditionalFormatting sqref="A6 P6">
    <cfRule type="duplicateValues" dxfId="125" priority="19"/>
  </conditionalFormatting>
  <conditionalFormatting sqref="A7 P7">
    <cfRule type="duplicateValues" dxfId="124" priority="18"/>
  </conditionalFormatting>
  <conditionalFormatting sqref="A8 P8">
    <cfRule type="duplicateValues" dxfId="123" priority="17"/>
  </conditionalFormatting>
  <conditionalFormatting sqref="A9 P9">
    <cfRule type="duplicateValues" dxfId="122" priority="16"/>
  </conditionalFormatting>
  <conditionalFormatting sqref="A10 P10">
    <cfRule type="duplicateValues" dxfId="121" priority="15"/>
  </conditionalFormatting>
  <conditionalFormatting sqref="A11 P11">
    <cfRule type="duplicateValues" dxfId="120" priority="14"/>
  </conditionalFormatting>
  <conditionalFormatting sqref="A13:A14">
    <cfRule type="cellIs" dxfId="119" priority="26" operator="notEqual">
      <formula>100</formula>
    </cfRule>
  </conditionalFormatting>
  <conditionalFormatting sqref="A16:A17">
    <cfRule type="cellIs" dxfId="118" priority="25" operator="notEqual">
      <formula>100</formula>
    </cfRule>
  </conditionalFormatting>
  <conditionalFormatting sqref="A19 P19">
    <cfRule type="duplicateValues" dxfId="117" priority="12"/>
  </conditionalFormatting>
  <conditionalFormatting sqref="A20 P20">
    <cfRule type="duplicateValues" dxfId="116" priority="11"/>
  </conditionalFormatting>
  <conditionalFormatting sqref="A21 P21">
    <cfRule type="duplicateValues" dxfId="115" priority="10"/>
  </conditionalFormatting>
  <conditionalFormatting sqref="A22 P22">
    <cfRule type="duplicateValues" dxfId="114" priority="9"/>
  </conditionalFormatting>
  <conditionalFormatting sqref="A23 P23">
    <cfRule type="duplicateValues" dxfId="113" priority="8"/>
  </conditionalFormatting>
  <conditionalFormatting sqref="A24 P24">
    <cfRule type="duplicateValues" dxfId="112" priority="7"/>
  </conditionalFormatting>
  <conditionalFormatting sqref="A25 P25">
    <cfRule type="duplicateValues" dxfId="111" priority="6"/>
  </conditionalFormatting>
  <conditionalFormatting sqref="A26 P26">
    <cfRule type="duplicateValues" dxfId="110" priority="5"/>
  </conditionalFormatting>
  <conditionalFormatting sqref="A27 P27">
    <cfRule type="duplicateValues" dxfId="109" priority="4"/>
  </conditionalFormatting>
  <conditionalFormatting sqref="A28 P28">
    <cfRule type="duplicateValues" dxfId="108" priority="3"/>
  </conditionalFormatting>
  <conditionalFormatting sqref="C13:N13">
    <cfRule type="cellIs" dxfId="107" priority="2" operator="equal">
      <formula>0</formula>
    </cfRule>
  </conditionalFormatting>
  <conditionalFormatting sqref="C17:N17">
    <cfRule type="cellIs" dxfId="106" priority="1" operator="equal">
      <formula>0</formula>
    </cfRule>
  </conditionalFormatting>
  <conditionalFormatting sqref="P2 A2:A11">
    <cfRule type="duplicateValues" dxfId="105" priority="24"/>
  </conditionalFormatting>
  <conditionalFormatting sqref="P19 A19:A28">
    <cfRule type="duplicateValues" dxfId="104" priority="13"/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5</v>
      </c>
      <c r="H14" s="10">
        <v>5</v>
      </c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38</v>
      </c>
      <c r="D15" s="4" t="s">
        <v>20</v>
      </c>
      <c r="E15" s="4" t="s">
        <v>70</v>
      </c>
      <c r="F15" s="4" t="s">
        <v>71</v>
      </c>
      <c r="G15" s="4" t="s">
        <v>29</v>
      </c>
      <c r="H15" s="4" t="s">
        <v>72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20</v>
      </c>
      <c r="F16" s="12">
        <v>10</v>
      </c>
      <c r="G16" s="12">
        <v>5</v>
      </c>
      <c r="H16" s="12">
        <v>5</v>
      </c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20</v>
      </c>
      <c r="F17" s="13">
        <f t="shared" si="2"/>
        <v>10</v>
      </c>
      <c r="G17" s="13">
        <f t="shared" si="2"/>
        <v>5</v>
      </c>
      <c r="H17" s="13">
        <f t="shared" si="2"/>
        <v>5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H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3" priority="23"/>
  </conditionalFormatting>
  <conditionalFormatting sqref="A3 P3">
    <cfRule type="duplicateValues" dxfId="102" priority="22"/>
  </conditionalFormatting>
  <conditionalFormatting sqref="A4 P4">
    <cfRule type="duplicateValues" dxfId="101" priority="21"/>
  </conditionalFormatting>
  <conditionalFormatting sqref="A5 P5">
    <cfRule type="duplicateValues" dxfId="100" priority="20"/>
  </conditionalFormatting>
  <conditionalFormatting sqref="A6 P6">
    <cfRule type="duplicateValues" dxfId="99" priority="19"/>
  </conditionalFormatting>
  <conditionalFormatting sqref="A7 P7">
    <cfRule type="duplicateValues" dxfId="98" priority="18"/>
  </conditionalFormatting>
  <conditionalFormatting sqref="A8 P8">
    <cfRule type="duplicateValues" dxfId="97" priority="17"/>
  </conditionalFormatting>
  <conditionalFormatting sqref="A9 P9">
    <cfRule type="duplicateValues" dxfId="96" priority="16"/>
  </conditionalFormatting>
  <conditionalFormatting sqref="A10 P10">
    <cfRule type="duplicateValues" dxfId="95" priority="15"/>
  </conditionalFormatting>
  <conditionalFormatting sqref="A11 P11">
    <cfRule type="duplicateValues" dxfId="94" priority="14"/>
  </conditionalFormatting>
  <conditionalFormatting sqref="A13:A14">
    <cfRule type="cellIs" dxfId="93" priority="26" operator="notEqual">
      <formula>100</formula>
    </cfRule>
  </conditionalFormatting>
  <conditionalFormatting sqref="A16:A17">
    <cfRule type="cellIs" dxfId="92" priority="25" operator="notEqual">
      <formula>100</formula>
    </cfRule>
  </conditionalFormatting>
  <conditionalFormatting sqref="A19 P19">
    <cfRule type="duplicateValues" dxfId="91" priority="12"/>
  </conditionalFormatting>
  <conditionalFormatting sqref="A20 P20">
    <cfRule type="duplicateValues" dxfId="90" priority="11"/>
  </conditionalFormatting>
  <conditionalFormatting sqref="A21 P21">
    <cfRule type="duplicateValues" dxfId="89" priority="10"/>
  </conditionalFormatting>
  <conditionalFormatting sqref="A22 P22">
    <cfRule type="duplicateValues" dxfId="88" priority="9"/>
  </conditionalFormatting>
  <conditionalFormatting sqref="A23 P23">
    <cfRule type="duplicateValues" dxfId="87" priority="8"/>
  </conditionalFormatting>
  <conditionalFormatting sqref="A24 P24">
    <cfRule type="duplicateValues" dxfId="86" priority="7"/>
  </conditionalFormatting>
  <conditionalFormatting sqref="A25 P25">
    <cfRule type="duplicateValues" dxfId="85" priority="6"/>
  </conditionalFormatting>
  <conditionalFormatting sqref="A26 P26">
    <cfRule type="duplicateValues" dxfId="84" priority="5"/>
  </conditionalFormatting>
  <conditionalFormatting sqref="A27 P27">
    <cfRule type="duplicateValues" dxfId="83" priority="4"/>
  </conditionalFormatting>
  <conditionalFormatting sqref="A28 P28">
    <cfRule type="duplicateValues" dxfId="82" priority="3"/>
  </conditionalFormatting>
  <conditionalFormatting sqref="C13:N13">
    <cfRule type="cellIs" dxfId="81" priority="2" operator="equal">
      <formula>0</formula>
    </cfRule>
  </conditionalFormatting>
  <conditionalFormatting sqref="C17:N17">
    <cfRule type="cellIs" dxfId="80" priority="1" operator="equal">
      <formula>0</formula>
    </cfRule>
  </conditionalFormatting>
  <conditionalFormatting sqref="P2 A2:A11">
    <cfRule type="duplicateValues" dxfId="79" priority="24"/>
  </conditionalFormatting>
  <conditionalFormatting sqref="P19 A19:A28">
    <cfRule type="duplicateValues" dxfId="78" priority="13"/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P29"/>
  <sheetViews>
    <sheetView workbookViewId="0">
      <selection activeCell="H15" sqref="H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>
        <v>0</v>
      </c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29</v>
      </c>
      <c r="D15" s="4" t="s">
        <v>30</v>
      </c>
      <c r="E15" s="4" t="s">
        <v>68</v>
      </c>
      <c r="F15" s="4" t="s">
        <v>73</v>
      </c>
      <c r="G15" s="4" t="s">
        <v>72</v>
      </c>
      <c r="H15" s="4" t="s">
        <v>23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20</v>
      </c>
      <c r="F16" s="12">
        <v>10</v>
      </c>
      <c r="G16" s="12">
        <v>0</v>
      </c>
      <c r="H16" s="12">
        <v>10</v>
      </c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20</v>
      </c>
      <c r="F17" s="13">
        <f t="shared" si="2"/>
        <v>10</v>
      </c>
      <c r="G17" s="13">
        <f t="shared" si="2"/>
        <v>0</v>
      </c>
      <c r="H17" s="13">
        <f>SUM(H19:H28)</f>
        <v>10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H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77" priority="23"/>
  </conditionalFormatting>
  <conditionalFormatting sqref="A3 P3">
    <cfRule type="duplicateValues" dxfId="76" priority="22"/>
  </conditionalFormatting>
  <conditionalFormatting sqref="A4 P4">
    <cfRule type="duplicateValues" dxfId="75" priority="21"/>
  </conditionalFormatting>
  <conditionalFormatting sqref="A5 P5">
    <cfRule type="duplicateValues" dxfId="74" priority="20"/>
  </conditionalFormatting>
  <conditionalFormatting sqref="A6 P6">
    <cfRule type="duplicateValues" dxfId="73" priority="19"/>
  </conditionalFormatting>
  <conditionalFormatting sqref="A7 P7">
    <cfRule type="duplicateValues" dxfId="72" priority="18"/>
  </conditionalFormatting>
  <conditionalFormatting sqref="A8 P8">
    <cfRule type="duplicateValues" dxfId="71" priority="17"/>
  </conditionalFormatting>
  <conditionalFormatting sqref="A9 P9">
    <cfRule type="duplicateValues" dxfId="70" priority="16"/>
  </conditionalFormatting>
  <conditionalFormatting sqref="A10 P10">
    <cfRule type="duplicateValues" dxfId="69" priority="15"/>
  </conditionalFormatting>
  <conditionalFormatting sqref="A11 P11">
    <cfRule type="duplicateValues" dxfId="68" priority="14"/>
  </conditionalFormatting>
  <conditionalFormatting sqref="A13:A14">
    <cfRule type="cellIs" dxfId="67" priority="26" operator="notEqual">
      <formula>100</formula>
    </cfRule>
  </conditionalFormatting>
  <conditionalFormatting sqref="A16:A17">
    <cfRule type="cellIs" dxfId="66" priority="25" operator="notEqual">
      <formula>100</formula>
    </cfRule>
  </conditionalFormatting>
  <conditionalFormatting sqref="A19 P19">
    <cfRule type="duplicateValues" dxfId="65" priority="12"/>
  </conditionalFormatting>
  <conditionalFormatting sqref="A20 P20">
    <cfRule type="duplicateValues" dxfId="64" priority="11"/>
  </conditionalFormatting>
  <conditionalFormatting sqref="A21 P21">
    <cfRule type="duplicateValues" dxfId="63" priority="10"/>
  </conditionalFormatting>
  <conditionalFormatting sqref="A22 P22">
    <cfRule type="duplicateValues" dxfId="62" priority="9"/>
  </conditionalFormatting>
  <conditionalFormatting sqref="A23 P23">
    <cfRule type="duplicateValues" dxfId="61" priority="8"/>
  </conditionalFormatting>
  <conditionalFormatting sqref="A24 P24">
    <cfRule type="duplicateValues" dxfId="60" priority="7"/>
  </conditionalFormatting>
  <conditionalFormatting sqref="A25 P25">
    <cfRule type="duplicateValues" dxfId="59" priority="6"/>
  </conditionalFormatting>
  <conditionalFormatting sqref="A26 P26">
    <cfRule type="duplicateValues" dxfId="58" priority="5"/>
  </conditionalFormatting>
  <conditionalFormatting sqref="A27 P27">
    <cfRule type="duplicateValues" dxfId="57" priority="4"/>
  </conditionalFormatting>
  <conditionalFormatting sqref="A28 P28">
    <cfRule type="duplicateValues" dxfId="56" priority="3"/>
  </conditionalFormatting>
  <conditionalFormatting sqref="C13:N13">
    <cfRule type="cellIs" dxfId="55" priority="2" operator="equal">
      <formula>0</formula>
    </cfRule>
  </conditionalFormatting>
  <conditionalFormatting sqref="C17:N17">
    <cfRule type="cellIs" dxfId="54" priority="1" operator="equal">
      <formula>0</formula>
    </cfRule>
  </conditionalFormatting>
  <conditionalFormatting sqref="P2 A2:A11">
    <cfRule type="duplicateValues" dxfId="53" priority="24"/>
  </conditionalFormatting>
  <conditionalFormatting sqref="P19 A19:A28">
    <cfRule type="duplicateValues" dxfId="52" priority="13"/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P29"/>
  <sheetViews>
    <sheetView workbookViewId="0">
      <selection activeCell="F15" sqref="F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>SUM(C6:N6)</f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 t="shared" si="1"/>
        <v>20</v>
      </c>
      <c r="F13" s="6">
        <f t="shared" si="1"/>
        <v>0</v>
      </c>
      <c r="G13" s="6">
        <f t="shared" si="1"/>
        <v>5</v>
      </c>
      <c r="H13" s="6">
        <f t="shared" si="1"/>
        <v>4</v>
      </c>
      <c r="I13" s="6">
        <f>SUM(I2:I11)</f>
        <v>1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100</v>
      </c>
      <c r="B14" s="9"/>
      <c r="C14" s="10">
        <v>40</v>
      </c>
      <c r="D14" s="10">
        <v>30</v>
      </c>
      <c r="E14" s="10">
        <v>20</v>
      </c>
      <c r="F14" s="10">
        <v>0</v>
      </c>
      <c r="G14" s="10">
        <v>5</v>
      </c>
      <c r="H14" s="10">
        <v>4</v>
      </c>
      <c r="I14" s="10">
        <v>1</v>
      </c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64</v>
      </c>
      <c r="D15" s="4" t="s">
        <v>30</v>
      </c>
      <c r="E15" s="4" t="s">
        <v>68</v>
      </c>
      <c r="F15" s="4" t="s">
        <v>23</v>
      </c>
      <c r="G15" s="4" t="s">
        <v>29</v>
      </c>
      <c r="H15" s="4" t="s">
        <v>72</v>
      </c>
      <c r="I15" s="4" t="s">
        <v>74</v>
      </c>
    </row>
    <row r="16" spans="1:16" s="11" customFormat="1" ht="14.25" customHeight="1" x14ac:dyDescent="0.25">
      <c r="A16" s="14">
        <f>SUM(C16:N16)</f>
        <v>100</v>
      </c>
      <c r="B16" s="9"/>
      <c r="C16" s="12">
        <v>30</v>
      </c>
      <c r="D16" s="12">
        <v>30</v>
      </c>
      <c r="E16" s="12">
        <v>20</v>
      </c>
      <c r="F16" s="12">
        <v>10</v>
      </c>
      <c r="G16" s="12">
        <v>5</v>
      </c>
      <c r="H16" s="12">
        <v>4</v>
      </c>
      <c r="I16" s="12">
        <v>1</v>
      </c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30</v>
      </c>
      <c r="D17" s="13">
        <f t="shared" si="2"/>
        <v>30</v>
      </c>
      <c r="E17" s="13">
        <f t="shared" si="2"/>
        <v>20</v>
      </c>
      <c r="F17" s="13">
        <f t="shared" si="2"/>
        <v>10</v>
      </c>
      <c r="G17" s="13">
        <f t="shared" si="2"/>
        <v>5</v>
      </c>
      <c r="H17" s="13">
        <f t="shared" si="2"/>
        <v>4</v>
      </c>
      <c r="I17" s="13">
        <f t="shared" si="2"/>
        <v>1</v>
      </c>
      <c r="J17" s="13">
        <f t="shared" si="2"/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>SUM(D23:N23)</f>
        <v>10</v>
      </c>
      <c r="B23" s="2"/>
      <c r="F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I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51" priority="23"/>
  </conditionalFormatting>
  <conditionalFormatting sqref="A3 P3">
    <cfRule type="duplicateValues" dxfId="50" priority="22"/>
  </conditionalFormatting>
  <conditionalFormatting sqref="A4 P4">
    <cfRule type="duplicateValues" dxfId="49" priority="21"/>
  </conditionalFormatting>
  <conditionalFormatting sqref="A5 P5">
    <cfRule type="duplicateValues" dxfId="48" priority="20"/>
  </conditionalFormatting>
  <conditionalFormatting sqref="A6 P6">
    <cfRule type="duplicateValues" dxfId="47" priority="19"/>
  </conditionalFormatting>
  <conditionalFormatting sqref="A7 P7">
    <cfRule type="duplicateValues" dxfId="46" priority="18"/>
  </conditionalFormatting>
  <conditionalFormatting sqref="A8 P8">
    <cfRule type="duplicateValues" dxfId="45" priority="17"/>
  </conditionalFormatting>
  <conditionalFormatting sqref="A9 P9">
    <cfRule type="duplicateValues" dxfId="44" priority="16"/>
  </conditionalFormatting>
  <conditionalFormatting sqref="A10 P10">
    <cfRule type="duplicateValues" dxfId="43" priority="15"/>
  </conditionalFormatting>
  <conditionalFormatting sqref="A11 P11">
    <cfRule type="duplicateValues" dxfId="42" priority="14"/>
  </conditionalFormatting>
  <conditionalFormatting sqref="A13:A14">
    <cfRule type="cellIs" dxfId="41" priority="26" operator="notEqual">
      <formula>100</formula>
    </cfRule>
  </conditionalFormatting>
  <conditionalFormatting sqref="A16:A17">
    <cfRule type="cellIs" dxfId="40" priority="25" operator="notEqual">
      <formula>100</formula>
    </cfRule>
  </conditionalFormatting>
  <conditionalFormatting sqref="A19 P19">
    <cfRule type="duplicateValues" dxfId="39" priority="12"/>
  </conditionalFormatting>
  <conditionalFormatting sqref="A20 P20">
    <cfRule type="duplicateValues" dxfId="38" priority="11"/>
  </conditionalFormatting>
  <conditionalFormatting sqref="A21 P21">
    <cfRule type="duplicateValues" dxfId="37" priority="10"/>
  </conditionalFormatting>
  <conditionalFormatting sqref="A22 P22">
    <cfRule type="duplicateValues" dxfId="36" priority="9"/>
  </conditionalFormatting>
  <conditionalFormatting sqref="A23 P23">
    <cfRule type="duplicateValues" dxfId="35" priority="8"/>
  </conditionalFormatting>
  <conditionalFormatting sqref="A24 P24">
    <cfRule type="duplicateValues" dxfId="34" priority="7"/>
  </conditionalFormatting>
  <conditionalFormatting sqref="A25 P25">
    <cfRule type="duplicateValues" dxfId="33" priority="6"/>
  </conditionalFormatting>
  <conditionalFormatting sqref="A26 P26">
    <cfRule type="duplicateValues" dxfId="32" priority="5"/>
  </conditionalFormatting>
  <conditionalFormatting sqref="A27 P27">
    <cfRule type="duplicateValues" dxfId="31" priority="4"/>
  </conditionalFormatting>
  <conditionalFormatting sqref="A28 P28">
    <cfRule type="duplicateValues" dxfId="30" priority="3"/>
  </conditionalFormatting>
  <conditionalFormatting sqref="C13:N13">
    <cfRule type="cellIs" dxfId="29" priority="2" operator="equal">
      <formula>0</formula>
    </cfRule>
  </conditionalFormatting>
  <conditionalFormatting sqref="C17:N17">
    <cfRule type="cellIs" dxfId="28" priority="1" operator="equal">
      <formula>0</formula>
    </cfRule>
  </conditionalFormatting>
  <conditionalFormatting sqref="P2 A2:A11">
    <cfRule type="duplicateValues" dxfId="27" priority="24"/>
  </conditionalFormatting>
  <conditionalFormatting sqref="P19 A19:A28">
    <cfRule type="duplicateValues" dxfId="26" priority="13"/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A1:AQ329"/>
  <sheetViews>
    <sheetView topLeftCell="A176" workbookViewId="0">
      <selection activeCell="W202" sqref="W202"/>
    </sheetView>
  </sheetViews>
  <sheetFormatPr defaultRowHeight="15" x14ac:dyDescent="0.25"/>
  <cols>
    <col min="1" max="1" width="4.7109375" style="18" customWidth="1"/>
    <col min="2" max="2" width="4.7109375" style="19" customWidth="1"/>
    <col min="3" max="3" width="12.7109375" style="27" customWidth="1"/>
    <col min="4" max="4" width="2.7109375" style="20" customWidth="1"/>
    <col min="5" max="5" width="4.7109375" style="18" customWidth="1"/>
    <col min="6" max="6" width="4.7109375" style="19" customWidth="1"/>
    <col min="7" max="7" width="12.7109375" style="21" customWidth="1"/>
    <col min="8" max="8" width="2.7109375" style="20" customWidth="1"/>
    <col min="9" max="9" width="4.7109375" style="18" customWidth="1"/>
    <col min="10" max="10" width="4.7109375" style="19" customWidth="1"/>
    <col min="11" max="11" width="12.7109375" style="21" customWidth="1"/>
    <col min="12" max="12" width="2.7109375" style="20" customWidth="1"/>
    <col min="13" max="13" width="4.7109375" style="18" customWidth="1"/>
    <col min="14" max="14" width="4.7109375" style="19" customWidth="1"/>
    <col min="15" max="15" width="12.7109375" style="30" customWidth="1"/>
    <col min="16" max="16" width="2.7109375" style="20" customWidth="1"/>
    <col min="17" max="17" width="4.7109375" style="18" customWidth="1"/>
    <col min="18" max="18" width="4.7109375" style="19" customWidth="1"/>
    <col min="19" max="19" width="12.7109375" style="23" customWidth="1"/>
    <col min="20" max="20" width="2.7109375" style="20" customWidth="1"/>
    <col min="21" max="21" width="4.7109375" style="18" customWidth="1"/>
    <col min="22" max="22" width="4.7109375" style="19" customWidth="1"/>
    <col min="23" max="23" width="12.7109375" style="23" customWidth="1"/>
    <col min="24" max="24" width="2.7109375" style="20" customWidth="1"/>
    <col min="25" max="25" width="6.7109375" style="31" customWidth="1"/>
    <col min="26" max="26" width="6.7109375" style="28" customWidth="1"/>
    <col min="27" max="27" width="4.7109375" style="18" customWidth="1"/>
    <col min="28" max="28" width="4.7109375" style="19" customWidth="1"/>
    <col min="29" max="29" width="12.7109375" style="24" customWidth="1"/>
    <col min="30" max="30" width="2.7109375" style="20" customWidth="1"/>
    <col min="31" max="31" width="4.7109375" style="18" customWidth="1"/>
    <col min="32" max="32" width="4.7109375" style="19" customWidth="1"/>
    <col min="33" max="33" width="12.7109375" style="22" customWidth="1"/>
    <col min="34" max="34" width="2.7109375" style="20" customWidth="1"/>
    <col min="35" max="35" width="4.7109375" style="18" customWidth="1"/>
    <col min="36" max="36" width="4.7109375" style="19" customWidth="1"/>
    <col min="37" max="37" width="12.7109375" style="22" customWidth="1"/>
    <col min="38" max="38" width="2.7109375" style="20" customWidth="1"/>
    <col min="39" max="39" width="9.140625" style="19"/>
    <col min="40" max="40" width="4.7109375" style="18" customWidth="1"/>
    <col min="41" max="41" width="4.7109375" style="19" customWidth="1"/>
    <col min="42" max="42" width="27.7109375" style="19" customWidth="1"/>
    <col min="43" max="44" width="3.7109375" style="19" customWidth="1"/>
    <col min="45" max="16384" width="9.140625" style="19"/>
  </cols>
  <sheetData>
    <row r="1" spans="1:43" x14ac:dyDescent="0.25">
      <c r="B1" s="19" t="s">
        <v>124</v>
      </c>
      <c r="AB1" s="19" t="s">
        <v>124</v>
      </c>
      <c r="AO1" s="19" t="s">
        <v>172</v>
      </c>
    </row>
    <row r="2" spans="1:43" x14ac:dyDescent="0.25">
      <c r="AC2" s="24" t="s">
        <v>61</v>
      </c>
      <c r="AG2" s="22" t="s">
        <v>61</v>
      </c>
      <c r="AK2" s="22" t="s">
        <v>61</v>
      </c>
    </row>
    <row r="3" spans="1:43" x14ac:dyDescent="0.25">
      <c r="C3" s="27" t="s">
        <v>42</v>
      </c>
      <c r="G3" s="21" t="s">
        <v>122</v>
      </c>
      <c r="K3" s="21" t="s">
        <v>123</v>
      </c>
      <c r="O3" s="30" t="s">
        <v>43</v>
      </c>
      <c r="S3" s="23" t="s">
        <v>197</v>
      </c>
      <c r="W3" s="23" t="s">
        <v>204</v>
      </c>
      <c r="AC3" s="24" t="s">
        <v>42</v>
      </c>
      <c r="AG3" s="22" t="s">
        <v>122</v>
      </c>
      <c r="AK3" s="22" t="s">
        <v>123</v>
      </c>
      <c r="AO3" s="19" t="s">
        <v>176</v>
      </c>
      <c r="AQ3" s="29"/>
    </row>
    <row r="4" spans="1:43" x14ac:dyDescent="0.25">
      <c r="AN4" s="18">
        <v>60</v>
      </c>
      <c r="AP4" s="19" t="s">
        <v>37</v>
      </c>
    </row>
    <row r="5" spans="1:43" x14ac:dyDescent="0.25">
      <c r="B5" s="20" t="s">
        <v>125</v>
      </c>
      <c r="N5" s="30" t="s">
        <v>50</v>
      </c>
      <c r="AB5" s="20" t="s">
        <v>125</v>
      </c>
      <c r="AN5" s="18">
        <v>20</v>
      </c>
      <c r="AP5" s="19" t="s">
        <v>53</v>
      </c>
    </row>
    <row r="6" spans="1:43" x14ac:dyDescent="0.25">
      <c r="A6" s="18">
        <v>50</v>
      </c>
      <c r="C6" s="27" t="s">
        <v>51</v>
      </c>
      <c r="E6" s="18">
        <v>50</v>
      </c>
      <c r="I6" s="18">
        <v>50</v>
      </c>
      <c r="M6" s="18">
        <v>50</v>
      </c>
      <c r="O6" s="30" t="s">
        <v>26</v>
      </c>
      <c r="AA6" s="18">
        <v>50</v>
      </c>
      <c r="AC6" s="24" t="s">
        <v>51</v>
      </c>
      <c r="AE6" s="18">
        <v>50</v>
      </c>
      <c r="AI6" s="18">
        <v>50</v>
      </c>
      <c r="AN6" s="18">
        <v>10</v>
      </c>
      <c r="AP6" s="19" t="s">
        <v>37</v>
      </c>
    </row>
    <row r="7" spans="1:43" x14ac:dyDescent="0.25">
      <c r="A7" s="18">
        <v>30</v>
      </c>
      <c r="C7" s="27" t="s">
        <v>51</v>
      </c>
      <c r="E7" s="18">
        <v>30</v>
      </c>
      <c r="I7" s="18">
        <v>30</v>
      </c>
      <c r="M7" s="18">
        <v>30</v>
      </c>
      <c r="O7" s="30" t="s">
        <v>51</v>
      </c>
      <c r="AA7" s="18">
        <v>30</v>
      </c>
      <c r="AC7" s="24" t="s">
        <v>51</v>
      </c>
      <c r="AE7" s="18">
        <v>30</v>
      </c>
      <c r="AI7" s="18">
        <v>30</v>
      </c>
      <c r="AN7" s="18">
        <v>10</v>
      </c>
      <c r="AP7" s="19" t="s">
        <v>36</v>
      </c>
    </row>
    <row r="8" spans="1:43" x14ac:dyDescent="0.25">
      <c r="A8" s="18">
        <v>10</v>
      </c>
      <c r="C8" s="27" t="s">
        <v>166</v>
      </c>
      <c r="E8" s="18">
        <v>10</v>
      </c>
      <c r="I8" s="18">
        <v>10</v>
      </c>
      <c r="M8" s="18">
        <v>10</v>
      </c>
      <c r="O8" s="30" t="s">
        <v>27</v>
      </c>
      <c r="AA8" s="18">
        <v>10</v>
      </c>
      <c r="AC8" s="24" t="s">
        <v>166</v>
      </c>
      <c r="AE8" s="18">
        <v>10</v>
      </c>
      <c r="AI8" s="18">
        <v>10</v>
      </c>
    </row>
    <row r="9" spans="1:43" x14ac:dyDescent="0.25">
      <c r="A9" s="18">
        <v>10</v>
      </c>
      <c r="C9" s="27" t="s">
        <v>167</v>
      </c>
      <c r="E9" s="18">
        <v>10</v>
      </c>
      <c r="I9" s="18">
        <v>10</v>
      </c>
      <c r="M9" s="18">
        <v>10</v>
      </c>
      <c r="O9" s="30" t="s">
        <v>189</v>
      </c>
      <c r="AA9" s="18">
        <v>10</v>
      </c>
      <c r="AC9" s="24" t="s">
        <v>167</v>
      </c>
      <c r="AE9" s="18">
        <v>10</v>
      </c>
      <c r="AI9" s="18">
        <v>10</v>
      </c>
      <c r="AO9" s="19" t="s">
        <v>182</v>
      </c>
    </row>
    <row r="10" spans="1:43" x14ac:dyDescent="0.25">
      <c r="AN10" s="18">
        <v>60</v>
      </c>
      <c r="AP10" s="19" t="s">
        <v>37</v>
      </c>
    </row>
    <row r="11" spans="1:43" x14ac:dyDescent="0.25">
      <c r="AN11" s="18">
        <v>20</v>
      </c>
      <c r="AP11" s="19" t="s">
        <v>53</v>
      </c>
    </row>
    <row r="12" spans="1:43" x14ac:dyDescent="0.25">
      <c r="AN12" s="18">
        <v>10</v>
      </c>
      <c r="AP12" s="19" t="s">
        <v>37</v>
      </c>
    </row>
    <row r="13" spans="1:43" x14ac:dyDescent="0.25">
      <c r="B13" s="20" t="s">
        <v>126</v>
      </c>
      <c r="N13" s="30" t="s">
        <v>47</v>
      </c>
      <c r="AB13" s="20" t="s">
        <v>126</v>
      </c>
      <c r="AN13" s="18">
        <v>10</v>
      </c>
      <c r="AP13" s="19" t="s">
        <v>188</v>
      </c>
    </row>
    <row r="14" spans="1:43" x14ac:dyDescent="0.25">
      <c r="A14" s="18">
        <v>50</v>
      </c>
      <c r="C14" s="27" t="s">
        <v>37</v>
      </c>
      <c r="E14" s="18">
        <v>50</v>
      </c>
      <c r="I14" s="18">
        <v>50</v>
      </c>
      <c r="M14" s="18">
        <v>50</v>
      </c>
      <c r="O14" s="30" t="s">
        <v>37</v>
      </c>
      <c r="AA14" s="18">
        <v>50</v>
      </c>
      <c r="AC14" s="24" t="s">
        <v>37</v>
      </c>
      <c r="AE14" s="18">
        <v>50</v>
      </c>
      <c r="AI14" s="18">
        <v>50</v>
      </c>
    </row>
    <row r="15" spans="1:43" x14ac:dyDescent="0.25">
      <c r="A15" s="18">
        <v>30</v>
      </c>
      <c r="C15" s="27" t="s">
        <v>37</v>
      </c>
      <c r="E15" s="18">
        <v>30</v>
      </c>
      <c r="I15" s="18">
        <v>30</v>
      </c>
      <c r="M15" s="18">
        <v>30</v>
      </c>
      <c r="O15" s="30" t="s">
        <v>53</v>
      </c>
      <c r="AA15" s="18">
        <v>30</v>
      </c>
      <c r="AC15" s="24" t="s">
        <v>37</v>
      </c>
      <c r="AE15" s="18">
        <v>30</v>
      </c>
      <c r="AI15" s="18">
        <v>30</v>
      </c>
      <c r="AO15" s="19" t="s">
        <v>175</v>
      </c>
      <c r="AQ15" s="29"/>
    </row>
    <row r="16" spans="1:43" x14ac:dyDescent="0.25">
      <c r="A16" s="18">
        <v>10</v>
      </c>
      <c r="C16" s="27" t="s">
        <v>36</v>
      </c>
      <c r="E16" s="18">
        <v>10</v>
      </c>
      <c r="I16" s="18">
        <v>10</v>
      </c>
      <c r="M16" s="18">
        <v>10</v>
      </c>
      <c r="O16" s="30" t="s">
        <v>37</v>
      </c>
      <c r="AA16" s="18">
        <v>10</v>
      </c>
      <c r="AC16" s="24" t="s">
        <v>36</v>
      </c>
      <c r="AE16" s="18">
        <v>10</v>
      </c>
      <c r="AI16" s="18">
        <v>10</v>
      </c>
      <c r="AN16" s="18">
        <v>60</v>
      </c>
      <c r="AP16" s="19" t="s">
        <v>45</v>
      </c>
    </row>
    <row r="17" spans="1:43" x14ac:dyDescent="0.25">
      <c r="A17" s="18">
        <v>10</v>
      </c>
      <c r="C17" s="27" t="s">
        <v>167</v>
      </c>
      <c r="E17" s="18">
        <v>10</v>
      </c>
      <c r="I17" s="18">
        <v>10</v>
      </c>
      <c r="M17" s="18">
        <v>10</v>
      </c>
      <c r="O17" s="30" t="s">
        <v>36</v>
      </c>
      <c r="AA17" s="18">
        <v>10</v>
      </c>
      <c r="AC17" s="24" t="s">
        <v>167</v>
      </c>
      <c r="AE17" s="18">
        <v>10</v>
      </c>
      <c r="AI17" s="18">
        <v>10</v>
      </c>
      <c r="AN17" s="18">
        <v>20</v>
      </c>
      <c r="AP17" s="19" t="s">
        <v>53</v>
      </c>
    </row>
    <row r="18" spans="1:43" x14ac:dyDescent="0.25">
      <c r="G18" s="25"/>
      <c r="AN18" s="18">
        <v>10</v>
      </c>
      <c r="AP18" s="19" t="s">
        <v>45</v>
      </c>
    </row>
    <row r="19" spans="1:43" x14ac:dyDescent="0.25">
      <c r="G19" s="25"/>
      <c r="AN19" s="18">
        <v>10</v>
      </c>
      <c r="AP19" s="19" t="s">
        <v>46</v>
      </c>
    </row>
    <row r="21" spans="1:43" x14ac:dyDescent="0.25">
      <c r="B21" s="20" t="s">
        <v>127</v>
      </c>
      <c r="N21" s="30" t="s">
        <v>47</v>
      </c>
      <c r="AB21" s="20" t="s">
        <v>127</v>
      </c>
      <c r="AO21" s="19" t="s">
        <v>173</v>
      </c>
      <c r="AQ21" s="29"/>
    </row>
    <row r="22" spans="1:43" x14ac:dyDescent="0.25">
      <c r="A22" s="18">
        <v>50</v>
      </c>
      <c r="C22" s="27" t="s">
        <v>37</v>
      </c>
      <c r="E22" s="18">
        <v>50</v>
      </c>
      <c r="I22" s="18">
        <v>50</v>
      </c>
      <c r="M22" s="18">
        <v>50</v>
      </c>
      <c r="O22" s="30" t="s">
        <v>37</v>
      </c>
      <c r="AA22" s="18">
        <v>50</v>
      </c>
      <c r="AC22" s="24" t="s">
        <v>37</v>
      </c>
      <c r="AE22" s="18">
        <v>50</v>
      </c>
      <c r="AI22" s="18">
        <v>50</v>
      </c>
      <c r="AO22" s="19" t="s">
        <v>186</v>
      </c>
      <c r="AQ22" s="29"/>
    </row>
    <row r="23" spans="1:43" x14ac:dyDescent="0.25">
      <c r="A23" s="18">
        <v>30</v>
      </c>
      <c r="C23" s="27" t="s">
        <v>37</v>
      </c>
      <c r="E23" s="18">
        <v>30</v>
      </c>
      <c r="I23" s="18">
        <v>30</v>
      </c>
      <c r="M23" s="18">
        <v>30</v>
      </c>
      <c r="O23" s="30" t="s">
        <v>53</v>
      </c>
      <c r="AA23" s="18">
        <v>30</v>
      </c>
      <c r="AC23" s="24" t="s">
        <v>37</v>
      </c>
      <c r="AE23" s="18">
        <v>30</v>
      </c>
      <c r="AI23" s="18">
        <v>30</v>
      </c>
      <c r="AO23" s="19" t="s">
        <v>187</v>
      </c>
      <c r="AQ23" s="29"/>
    </row>
    <row r="24" spans="1:43" x14ac:dyDescent="0.25">
      <c r="A24" s="18">
        <v>10</v>
      </c>
      <c r="C24" s="27" t="s">
        <v>36</v>
      </c>
      <c r="E24" s="18">
        <v>10</v>
      </c>
      <c r="I24" s="18">
        <v>10</v>
      </c>
      <c r="M24" s="18">
        <v>10</v>
      </c>
      <c r="O24" s="30" t="s">
        <v>37</v>
      </c>
      <c r="AA24" s="18">
        <v>10</v>
      </c>
      <c r="AC24" s="24" t="s">
        <v>36</v>
      </c>
      <c r="AE24" s="18">
        <v>10</v>
      </c>
      <c r="AI24" s="18">
        <v>10</v>
      </c>
      <c r="AN24" s="18">
        <v>40</v>
      </c>
      <c r="AP24" s="19" t="s">
        <v>26</v>
      </c>
    </row>
    <row r="25" spans="1:43" x14ac:dyDescent="0.25">
      <c r="A25" s="18">
        <v>10</v>
      </c>
      <c r="C25" s="27" t="s">
        <v>167</v>
      </c>
      <c r="E25" s="18">
        <v>10</v>
      </c>
      <c r="I25" s="18">
        <v>10</v>
      </c>
      <c r="M25" s="18">
        <v>10</v>
      </c>
      <c r="O25" s="30" t="s">
        <v>36</v>
      </c>
      <c r="AA25" s="18">
        <v>10</v>
      </c>
      <c r="AC25" s="24" t="s">
        <v>167</v>
      </c>
      <c r="AE25" s="18">
        <v>10</v>
      </c>
      <c r="AI25" s="18">
        <v>10</v>
      </c>
      <c r="AN25" s="18">
        <v>30</v>
      </c>
      <c r="AP25" s="19" t="s">
        <v>51</v>
      </c>
    </row>
    <row r="26" spans="1:43" x14ac:dyDescent="0.25">
      <c r="AN26" s="18">
        <v>20</v>
      </c>
      <c r="AP26" s="19" t="s">
        <v>27</v>
      </c>
    </row>
    <row r="27" spans="1:43" x14ac:dyDescent="0.25">
      <c r="AN27" s="18">
        <v>10</v>
      </c>
      <c r="AP27" s="19" t="s">
        <v>189</v>
      </c>
    </row>
    <row r="29" spans="1:43" x14ac:dyDescent="0.25">
      <c r="B29" s="20" t="s">
        <v>128</v>
      </c>
      <c r="N29" s="30" t="s">
        <v>192</v>
      </c>
      <c r="R29" s="23" t="s">
        <v>202</v>
      </c>
      <c r="V29" s="31"/>
      <c r="AB29" s="20" t="s">
        <v>128</v>
      </c>
      <c r="AO29" s="19" t="s">
        <v>174</v>
      </c>
      <c r="AQ29" s="29"/>
    </row>
    <row r="30" spans="1:43" x14ac:dyDescent="0.25">
      <c r="A30" s="18">
        <v>50</v>
      </c>
      <c r="C30" s="27" t="s">
        <v>51</v>
      </c>
      <c r="E30" s="18">
        <v>50</v>
      </c>
      <c r="G30" s="26" t="s">
        <v>190</v>
      </c>
      <c r="I30" s="18">
        <v>50</v>
      </c>
      <c r="K30" s="21" t="s">
        <v>200</v>
      </c>
      <c r="M30" s="18">
        <v>50</v>
      </c>
      <c r="O30" s="30" t="s">
        <v>39</v>
      </c>
      <c r="Q30" s="18">
        <v>70</v>
      </c>
      <c r="S30" s="26" t="s">
        <v>190</v>
      </c>
      <c r="AA30" s="18">
        <v>50</v>
      </c>
      <c r="AC30" s="24" t="s">
        <v>51</v>
      </c>
      <c r="AE30" s="18">
        <v>50</v>
      </c>
      <c r="AI30" s="18">
        <v>50</v>
      </c>
      <c r="AO30" s="19" t="s">
        <v>185</v>
      </c>
      <c r="AQ30" s="29"/>
    </row>
    <row r="31" spans="1:43" x14ac:dyDescent="0.25">
      <c r="A31" s="18">
        <v>30</v>
      </c>
      <c r="C31" s="27" t="s">
        <v>64</v>
      </c>
      <c r="E31" s="18">
        <v>30</v>
      </c>
      <c r="I31" s="18">
        <v>30</v>
      </c>
      <c r="M31" s="18">
        <v>30</v>
      </c>
      <c r="O31" s="30" t="s">
        <v>27</v>
      </c>
      <c r="Q31" s="18">
        <v>10</v>
      </c>
      <c r="S31" s="23" t="s">
        <v>39</v>
      </c>
      <c r="AA31" s="18">
        <v>30</v>
      </c>
      <c r="AC31" s="24" t="s">
        <v>64</v>
      </c>
      <c r="AE31" s="18">
        <v>30</v>
      </c>
      <c r="AI31" s="18">
        <v>30</v>
      </c>
      <c r="AO31" s="19" t="s">
        <v>184</v>
      </c>
    </row>
    <row r="32" spans="1:43" x14ac:dyDescent="0.25">
      <c r="A32" s="18">
        <v>10</v>
      </c>
      <c r="C32" s="27" t="s">
        <v>166</v>
      </c>
      <c r="E32" s="18">
        <v>10</v>
      </c>
      <c r="I32" s="18">
        <v>10</v>
      </c>
      <c r="M32" s="18">
        <v>10</v>
      </c>
      <c r="O32" s="30" t="s">
        <v>53</v>
      </c>
      <c r="Q32" s="18">
        <v>10</v>
      </c>
      <c r="S32" s="23" t="s">
        <v>27</v>
      </c>
      <c r="AA32" s="18">
        <v>10</v>
      </c>
      <c r="AC32" s="24" t="s">
        <v>166</v>
      </c>
      <c r="AE32" s="18">
        <v>10</v>
      </c>
      <c r="AI32" s="18">
        <v>10</v>
      </c>
      <c r="AN32" s="18">
        <v>50</v>
      </c>
      <c r="AP32" s="19" t="s">
        <v>49</v>
      </c>
    </row>
    <row r="33" spans="1:43" x14ac:dyDescent="0.25">
      <c r="A33" s="18">
        <v>10</v>
      </c>
      <c r="C33" s="27" t="s">
        <v>167</v>
      </c>
      <c r="E33" s="18">
        <v>10</v>
      </c>
      <c r="I33" s="18">
        <v>10</v>
      </c>
      <c r="M33" s="18">
        <v>10</v>
      </c>
      <c r="O33" s="30" t="s">
        <v>190</v>
      </c>
      <c r="Q33" s="18">
        <v>10</v>
      </c>
      <c r="S33" s="23" t="s">
        <v>53</v>
      </c>
      <c r="AA33" s="18">
        <v>10</v>
      </c>
      <c r="AC33" s="24" t="s">
        <v>167</v>
      </c>
      <c r="AE33" s="18">
        <v>10</v>
      </c>
      <c r="AI33" s="18">
        <v>10</v>
      </c>
      <c r="AN33" s="18">
        <v>30</v>
      </c>
      <c r="AP33" s="19" t="s">
        <v>51</v>
      </c>
    </row>
    <row r="34" spans="1:43" x14ac:dyDescent="0.25">
      <c r="AN34" s="18">
        <v>10</v>
      </c>
      <c r="AP34" s="19" t="s">
        <v>48</v>
      </c>
    </row>
    <row r="35" spans="1:43" x14ac:dyDescent="0.25">
      <c r="AN35" s="18">
        <v>10</v>
      </c>
      <c r="AP35" s="19" t="s">
        <v>189</v>
      </c>
    </row>
    <row r="37" spans="1:43" x14ac:dyDescent="0.25">
      <c r="B37" s="20" t="s">
        <v>129</v>
      </c>
      <c r="N37" s="30" t="s">
        <v>44</v>
      </c>
      <c r="AB37" s="20" t="s">
        <v>129</v>
      </c>
      <c r="AO37" s="19" t="s">
        <v>178</v>
      </c>
      <c r="AQ37" s="29"/>
    </row>
    <row r="38" spans="1:43" x14ac:dyDescent="0.25">
      <c r="A38" s="18">
        <v>50</v>
      </c>
      <c r="C38" s="27" t="s">
        <v>51</v>
      </c>
      <c r="E38" s="18">
        <v>50</v>
      </c>
      <c r="I38" s="18">
        <v>50</v>
      </c>
      <c r="M38" s="18">
        <v>50</v>
      </c>
      <c r="O38" s="30" t="s">
        <v>45</v>
      </c>
      <c r="AA38" s="18">
        <v>50</v>
      </c>
      <c r="AC38" s="24" t="s">
        <v>51</v>
      </c>
      <c r="AE38" s="18">
        <v>50</v>
      </c>
      <c r="AI38" s="18">
        <v>50</v>
      </c>
      <c r="AN38" s="18">
        <v>30</v>
      </c>
      <c r="AP38" s="19" t="s">
        <v>53</v>
      </c>
    </row>
    <row r="39" spans="1:43" x14ac:dyDescent="0.25">
      <c r="A39" s="18">
        <v>30</v>
      </c>
      <c r="C39" s="27" t="s">
        <v>51</v>
      </c>
      <c r="E39" s="18">
        <v>30</v>
      </c>
      <c r="I39" s="18">
        <v>30</v>
      </c>
      <c r="M39" s="18">
        <v>30</v>
      </c>
      <c r="O39" s="30" t="s">
        <v>53</v>
      </c>
      <c r="AA39" s="18">
        <v>30</v>
      </c>
      <c r="AC39" s="24" t="s">
        <v>51</v>
      </c>
      <c r="AE39" s="18">
        <v>30</v>
      </c>
      <c r="AI39" s="18">
        <v>30</v>
      </c>
      <c r="AN39" s="18">
        <v>30</v>
      </c>
      <c r="AP39" s="19" t="s">
        <v>53</v>
      </c>
    </row>
    <row r="40" spans="1:43" x14ac:dyDescent="0.25">
      <c r="A40" s="18">
        <v>10</v>
      </c>
      <c r="C40" s="27" t="s">
        <v>166</v>
      </c>
      <c r="E40" s="18">
        <v>10</v>
      </c>
      <c r="I40" s="18">
        <v>10</v>
      </c>
      <c r="M40" s="18">
        <v>10</v>
      </c>
      <c r="O40" s="30" t="s">
        <v>45</v>
      </c>
      <c r="AA40" s="18">
        <v>10</v>
      </c>
      <c r="AC40" s="24" t="s">
        <v>166</v>
      </c>
      <c r="AE40" s="18">
        <v>10</v>
      </c>
      <c r="AI40" s="18">
        <v>10</v>
      </c>
      <c r="AN40" s="18">
        <v>30</v>
      </c>
      <c r="AP40" s="19" t="s">
        <v>53</v>
      </c>
    </row>
    <row r="41" spans="1:43" x14ac:dyDescent="0.25">
      <c r="A41" s="18">
        <v>10</v>
      </c>
      <c r="C41" s="27" t="s">
        <v>167</v>
      </c>
      <c r="E41" s="18">
        <v>10</v>
      </c>
      <c r="I41" s="18">
        <v>10</v>
      </c>
      <c r="M41" s="18">
        <v>10</v>
      </c>
      <c r="O41" s="30" t="s">
        <v>46</v>
      </c>
      <c r="AA41" s="18">
        <v>10</v>
      </c>
      <c r="AC41" s="24" t="s">
        <v>167</v>
      </c>
      <c r="AE41" s="18">
        <v>10</v>
      </c>
      <c r="AI41" s="18">
        <v>10</v>
      </c>
      <c r="AN41" s="18">
        <v>10</v>
      </c>
      <c r="AP41" s="19" t="s">
        <v>56</v>
      </c>
    </row>
    <row r="42" spans="1:43" x14ac:dyDescent="0.25">
      <c r="G42" s="25"/>
    </row>
    <row r="43" spans="1:43" x14ac:dyDescent="0.25">
      <c r="G43" s="25"/>
      <c r="AO43" s="19" t="s">
        <v>179</v>
      </c>
      <c r="AQ43" s="29"/>
    </row>
    <row r="44" spans="1:43" x14ac:dyDescent="0.25">
      <c r="AO44" s="19" t="s">
        <v>177</v>
      </c>
    </row>
    <row r="45" spans="1:43" x14ac:dyDescent="0.25">
      <c r="B45" s="20" t="s">
        <v>130</v>
      </c>
      <c r="N45" s="30" t="s">
        <v>47</v>
      </c>
      <c r="AB45" s="20" t="s">
        <v>130</v>
      </c>
      <c r="AN45" s="18">
        <v>40</v>
      </c>
      <c r="AP45" s="19" t="s">
        <v>53</v>
      </c>
    </row>
    <row r="46" spans="1:43" x14ac:dyDescent="0.25">
      <c r="A46" s="18">
        <v>50</v>
      </c>
      <c r="C46" s="27" t="s">
        <v>18</v>
      </c>
      <c r="E46" s="18">
        <v>50</v>
      </c>
      <c r="I46" s="18">
        <v>50</v>
      </c>
      <c r="M46" s="18">
        <v>50</v>
      </c>
      <c r="O46" s="30" t="s">
        <v>37</v>
      </c>
      <c r="AA46" s="18">
        <v>50</v>
      </c>
      <c r="AC46" s="24" t="s">
        <v>18</v>
      </c>
      <c r="AE46" s="18">
        <v>50</v>
      </c>
      <c r="AI46" s="18">
        <v>50</v>
      </c>
      <c r="AN46" s="18">
        <v>48</v>
      </c>
      <c r="AP46" s="19" t="s">
        <v>53</v>
      </c>
    </row>
    <row r="47" spans="1:43" x14ac:dyDescent="0.25">
      <c r="A47" s="18">
        <v>30</v>
      </c>
      <c r="C47" s="27" t="s">
        <v>18</v>
      </c>
      <c r="E47" s="18">
        <v>30</v>
      </c>
      <c r="I47" s="18">
        <v>30</v>
      </c>
      <c r="M47" s="18">
        <v>30</v>
      </c>
      <c r="O47" s="30" t="s">
        <v>53</v>
      </c>
      <c r="AA47" s="18">
        <v>30</v>
      </c>
      <c r="AC47" s="24" t="s">
        <v>18</v>
      </c>
      <c r="AE47" s="18">
        <v>30</v>
      </c>
      <c r="AI47" s="18">
        <v>30</v>
      </c>
      <c r="AN47" s="18">
        <v>10</v>
      </c>
      <c r="AP47" s="19" t="s">
        <v>41</v>
      </c>
    </row>
    <row r="48" spans="1:43" x14ac:dyDescent="0.25">
      <c r="A48" s="18">
        <v>10</v>
      </c>
      <c r="C48" s="27" t="s">
        <v>30</v>
      </c>
      <c r="E48" s="18">
        <v>10</v>
      </c>
      <c r="I48" s="18">
        <v>10</v>
      </c>
      <c r="M48" s="18">
        <v>10</v>
      </c>
      <c r="O48" s="30" t="s">
        <v>37</v>
      </c>
      <c r="AA48" s="18">
        <v>10</v>
      </c>
      <c r="AC48" s="24" t="s">
        <v>30</v>
      </c>
      <c r="AE48" s="18">
        <v>10</v>
      </c>
      <c r="AI48" s="18">
        <v>10</v>
      </c>
      <c r="AN48" s="18">
        <v>2</v>
      </c>
      <c r="AP48" s="19" t="s">
        <v>57</v>
      </c>
    </row>
    <row r="49" spans="1:43" x14ac:dyDescent="0.25">
      <c r="A49" s="18">
        <v>10</v>
      </c>
      <c r="C49" s="27" t="s">
        <v>167</v>
      </c>
      <c r="E49" s="18">
        <v>10</v>
      </c>
      <c r="I49" s="18">
        <v>10</v>
      </c>
      <c r="M49" s="18">
        <v>10</v>
      </c>
      <c r="O49" s="30" t="s">
        <v>36</v>
      </c>
      <c r="AA49" s="18">
        <v>10</v>
      </c>
      <c r="AC49" s="24" t="s">
        <v>167</v>
      </c>
      <c r="AE49" s="18">
        <v>10</v>
      </c>
      <c r="AI49" s="18">
        <v>10</v>
      </c>
    </row>
    <row r="50" spans="1:43" x14ac:dyDescent="0.25">
      <c r="G50" s="25"/>
      <c r="AO50" s="19" t="s">
        <v>183</v>
      </c>
      <c r="AQ50" s="29"/>
    </row>
    <row r="51" spans="1:43" x14ac:dyDescent="0.25">
      <c r="G51" s="25"/>
      <c r="AO51" s="19" t="s">
        <v>181</v>
      </c>
      <c r="AQ51" s="29"/>
    </row>
    <row r="52" spans="1:43" x14ac:dyDescent="0.25">
      <c r="AN52" s="18">
        <v>60</v>
      </c>
      <c r="AP52" s="19" t="s">
        <v>39</v>
      </c>
    </row>
    <row r="53" spans="1:43" x14ac:dyDescent="0.25">
      <c r="B53" s="20" t="s">
        <v>131</v>
      </c>
      <c r="N53" s="30" t="s">
        <v>54</v>
      </c>
      <c r="AB53" s="20" t="s">
        <v>131</v>
      </c>
      <c r="AN53" s="18">
        <v>20</v>
      </c>
      <c r="AP53" s="19" t="s">
        <v>27</v>
      </c>
    </row>
    <row r="54" spans="1:43" x14ac:dyDescent="0.25">
      <c r="C54" s="27" t="s">
        <v>51</v>
      </c>
      <c r="O54" s="30" t="s">
        <v>49</v>
      </c>
      <c r="AC54" s="24" t="s">
        <v>51</v>
      </c>
      <c r="AN54" s="18">
        <v>10</v>
      </c>
      <c r="AP54" s="19" t="s">
        <v>53</v>
      </c>
    </row>
    <row r="55" spans="1:43" x14ac:dyDescent="0.25">
      <c r="C55" s="27" t="s">
        <v>51</v>
      </c>
      <c r="O55" s="30" t="s">
        <v>51</v>
      </c>
      <c r="AC55" s="24" t="s">
        <v>51</v>
      </c>
      <c r="AN55" s="18">
        <v>10</v>
      </c>
      <c r="AP55" s="19" t="s">
        <v>190</v>
      </c>
    </row>
    <row r="56" spans="1:43" x14ac:dyDescent="0.25">
      <c r="C56" s="27" t="s">
        <v>166</v>
      </c>
      <c r="O56" s="30" t="s">
        <v>48</v>
      </c>
      <c r="AC56" s="24" t="s">
        <v>166</v>
      </c>
    </row>
    <row r="57" spans="1:43" x14ac:dyDescent="0.25">
      <c r="C57" s="27" t="s">
        <v>167</v>
      </c>
      <c r="O57" s="30" t="s">
        <v>189</v>
      </c>
      <c r="AC57" s="24" t="s">
        <v>167</v>
      </c>
      <c r="AO57" s="19" t="s">
        <v>180</v>
      </c>
      <c r="AQ57" s="26"/>
    </row>
    <row r="58" spans="1:43" x14ac:dyDescent="0.25">
      <c r="AN58" s="18">
        <v>40</v>
      </c>
      <c r="AP58" s="19" t="s">
        <v>26</v>
      </c>
    </row>
    <row r="59" spans="1:43" x14ac:dyDescent="0.25">
      <c r="AN59" s="18">
        <v>30</v>
      </c>
      <c r="AP59" s="19" t="s">
        <v>49</v>
      </c>
    </row>
    <row r="60" spans="1:43" x14ac:dyDescent="0.25">
      <c r="AN60" s="18">
        <v>20</v>
      </c>
      <c r="AP60" s="19" t="s">
        <v>191</v>
      </c>
    </row>
    <row r="61" spans="1:43" x14ac:dyDescent="0.25">
      <c r="B61" s="20" t="s">
        <v>132</v>
      </c>
      <c r="N61" s="30" t="s">
        <v>54</v>
      </c>
      <c r="AB61" s="20" t="s">
        <v>132</v>
      </c>
      <c r="AN61" s="18">
        <v>10</v>
      </c>
      <c r="AP61" s="19" t="s">
        <v>168</v>
      </c>
    </row>
    <row r="62" spans="1:43" x14ac:dyDescent="0.25">
      <c r="C62" s="27" t="s">
        <v>51</v>
      </c>
      <c r="G62" s="26" t="s">
        <v>60</v>
      </c>
      <c r="K62" s="21" t="s">
        <v>199</v>
      </c>
      <c r="O62" s="30" t="s">
        <v>49</v>
      </c>
      <c r="S62" s="23" t="s">
        <v>208</v>
      </c>
      <c r="AC62" s="24" t="s">
        <v>51</v>
      </c>
    </row>
    <row r="63" spans="1:43" x14ac:dyDescent="0.25">
      <c r="C63" s="27" t="s">
        <v>166</v>
      </c>
      <c r="O63" s="30" t="s">
        <v>51</v>
      </c>
      <c r="AC63" s="24" t="s">
        <v>166</v>
      </c>
    </row>
    <row r="64" spans="1:43" x14ac:dyDescent="0.25">
      <c r="C64" s="27" t="s">
        <v>60</v>
      </c>
      <c r="O64" s="30" t="s">
        <v>48</v>
      </c>
      <c r="AC64" s="24" t="s">
        <v>60</v>
      </c>
    </row>
    <row r="65" spans="1:35" x14ac:dyDescent="0.25">
      <c r="C65" s="27" t="s">
        <v>167</v>
      </c>
      <c r="O65" s="30" t="s">
        <v>189</v>
      </c>
      <c r="AC65" s="24" t="s">
        <v>167</v>
      </c>
    </row>
    <row r="69" spans="1:35" x14ac:dyDescent="0.25">
      <c r="B69" s="20" t="s">
        <v>133</v>
      </c>
      <c r="N69" s="30" t="s">
        <v>47</v>
      </c>
      <c r="AB69" s="20" t="s">
        <v>133</v>
      </c>
    </row>
    <row r="70" spans="1:35" x14ac:dyDescent="0.25">
      <c r="A70" s="18">
        <v>50</v>
      </c>
      <c r="C70" s="27" t="s">
        <v>45</v>
      </c>
      <c r="E70" s="18">
        <v>50</v>
      </c>
      <c r="I70" s="18">
        <v>50</v>
      </c>
      <c r="M70" s="18">
        <v>50</v>
      </c>
      <c r="O70" s="30" t="s">
        <v>37</v>
      </c>
      <c r="AA70" s="18">
        <v>50</v>
      </c>
      <c r="AC70" s="24" t="s">
        <v>45</v>
      </c>
      <c r="AE70" s="18">
        <v>50</v>
      </c>
      <c r="AG70" s="26" t="s">
        <v>28</v>
      </c>
      <c r="AI70" s="18">
        <v>50</v>
      </c>
    </row>
    <row r="71" spans="1:35" x14ac:dyDescent="0.25">
      <c r="A71" s="18">
        <v>30</v>
      </c>
      <c r="C71" s="27" t="s">
        <v>45</v>
      </c>
      <c r="E71" s="18">
        <v>30</v>
      </c>
      <c r="I71" s="18">
        <v>30</v>
      </c>
      <c r="M71" s="18">
        <v>30</v>
      </c>
      <c r="O71" s="30" t="s">
        <v>53</v>
      </c>
      <c r="AA71" s="18">
        <v>30</v>
      </c>
      <c r="AC71" s="24" t="s">
        <v>45</v>
      </c>
      <c r="AE71" s="18">
        <v>30</v>
      </c>
      <c r="AG71" s="22" t="s">
        <v>51</v>
      </c>
      <c r="AI71" s="18">
        <v>30</v>
      </c>
    </row>
    <row r="72" spans="1:35" x14ac:dyDescent="0.25">
      <c r="A72" s="18">
        <v>10</v>
      </c>
      <c r="C72" s="27" t="s">
        <v>46</v>
      </c>
      <c r="E72" s="18">
        <v>10</v>
      </c>
      <c r="I72" s="18">
        <v>10</v>
      </c>
      <c r="M72" s="18">
        <v>10</v>
      </c>
      <c r="O72" s="30" t="s">
        <v>37</v>
      </c>
      <c r="AA72" s="18">
        <v>10</v>
      </c>
      <c r="AC72" s="24" t="s">
        <v>46</v>
      </c>
      <c r="AE72" s="18">
        <v>10</v>
      </c>
      <c r="AG72" s="22" t="s">
        <v>49</v>
      </c>
      <c r="AI72" s="18">
        <v>10</v>
      </c>
    </row>
    <row r="73" spans="1:35" x14ac:dyDescent="0.25">
      <c r="A73" s="18">
        <v>10</v>
      </c>
      <c r="C73" s="27" t="s">
        <v>167</v>
      </c>
      <c r="E73" s="18">
        <v>10</v>
      </c>
      <c r="I73" s="18">
        <v>10</v>
      </c>
      <c r="M73" s="18">
        <v>10</v>
      </c>
      <c r="O73" s="30" t="s">
        <v>36</v>
      </c>
      <c r="AA73" s="18">
        <v>10</v>
      </c>
      <c r="AC73" s="24" t="s">
        <v>167</v>
      </c>
      <c r="AE73" s="18">
        <v>10</v>
      </c>
      <c r="AG73" s="22" t="s">
        <v>59</v>
      </c>
      <c r="AI73" s="18">
        <v>10</v>
      </c>
    </row>
    <row r="74" spans="1:35" x14ac:dyDescent="0.25">
      <c r="G74" s="25"/>
    </row>
    <row r="77" spans="1:35" x14ac:dyDescent="0.25">
      <c r="B77" s="20" t="s">
        <v>134</v>
      </c>
      <c r="N77" s="30" t="s">
        <v>47</v>
      </c>
      <c r="AB77" s="20" t="s">
        <v>134</v>
      </c>
    </row>
    <row r="78" spans="1:35" x14ac:dyDescent="0.25">
      <c r="A78" s="18">
        <v>50</v>
      </c>
      <c r="C78" s="27" t="s">
        <v>53</v>
      </c>
      <c r="E78" s="18">
        <v>50</v>
      </c>
      <c r="I78" s="18">
        <v>50</v>
      </c>
      <c r="M78" s="18">
        <v>50</v>
      </c>
      <c r="O78" s="30" t="s">
        <v>37</v>
      </c>
      <c r="AA78" s="18">
        <v>50</v>
      </c>
      <c r="AC78" s="24" t="s">
        <v>53</v>
      </c>
      <c r="AE78" s="18">
        <v>50</v>
      </c>
      <c r="AG78" s="26" t="s">
        <v>49</v>
      </c>
      <c r="AI78" s="18">
        <v>50</v>
      </c>
    </row>
    <row r="79" spans="1:35" x14ac:dyDescent="0.25">
      <c r="A79" s="18">
        <v>30</v>
      </c>
      <c r="C79" s="27" t="s">
        <v>53</v>
      </c>
      <c r="E79" s="18">
        <v>30</v>
      </c>
      <c r="I79" s="18">
        <v>30</v>
      </c>
      <c r="M79" s="18">
        <v>30</v>
      </c>
      <c r="O79" s="30" t="s">
        <v>53</v>
      </c>
      <c r="AA79" s="18">
        <v>30</v>
      </c>
      <c r="AC79" s="24" t="s">
        <v>53</v>
      </c>
      <c r="AE79" s="18">
        <v>30</v>
      </c>
      <c r="AG79" s="22" t="s">
        <v>51</v>
      </c>
      <c r="AI79" s="18">
        <v>30</v>
      </c>
    </row>
    <row r="80" spans="1:35" x14ac:dyDescent="0.25">
      <c r="A80" s="18">
        <v>10</v>
      </c>
      <c r="C80" s="27" t="s">
        <v>53</v>
      </c>
      <c r="E80" s="18">
        <v>10</v>
      </c>
      <c r="I80" s="18">
        <v>10</v>
      </c>
      <c r="M80" s="18">
        <v>10</v>
      </c>
      <c r="O80" s="30" t="s">
        <v>37</v>
      </c>
      <c r="AA80" s="18">
        <v>10</v>
      </c>
      <c r="AC80" s="24" t="s">
        <v>53</v>
      </c>
      <c r="AE80" s="18">
        <v>10</v>
      </c>
      <c r="AG80" s="22" t="s">
        <v>59</v>
      </c>
      <c r="AI80" s="18">
        <v>10</v>
      </c>
    </row>
    <row r="81" spans="1:35" x14ac:dyDescent="0.25">
      <c r="A81" s="18">
        <v>10</v>
      </c>
      <c r="C81" s="27" t="s">
        <v>167</v>
      </c>
      <c r="E81" s="18">
        <v>10</v>
      </c>
      <c r="I81" s="18">
        <v>10</v>
      </c>
      <c r="M81" s="18">
        <v>10</v>
      </c>
      <c r="O81" s="30" t="s">
        <v>36</v>
      </c>
      <c r="AA81" s="18">
        <v>10</v>
      </c>
      <c r="AC81" s="24" t="s">
        <v>167</v>
      </c>
      <c r="AE81" s="18">
        <v>10</v>
      </c>
      <c r="AG81" s="22" t="s">
        <v>60</v>
      </c>
      <c r="AI81" s="18">
        <v>10</v>
      </c>
    </row>
    <row r="82" spans="1:35" x14ac:dyDescent="0.25">
      <c r="G82" s="25"/>
    </row>
    <row r="85" spans="1:35" x14ac:dyDescent="0.25">
      <c r="B85" s="20" t="s">
        <v>135</v>
      </c>
      <c r="N85" s="30" t="s">
        <v>193</v>
      </c>
      <c r="R85" s="23" t="s">
        <v>203</v>
      </c>
      <c r="V85" s="31"/>
      <c r="AB85" s="20" t="s">
        <v>135</v>
      </c>
    </row>
    <row r="86" spans="1:35" x14ac:dyDescent="0.25">
      <c r="A86" s="18">
        <v>50</v>
      </c>
      <c r="C86" s="27" t="s">
        <v>37</v>
      </c>
      <c r="E86" s="18">
        <v>50</v>
      </c>
      <c r="G86" s="26" t="s">
        <v>188</v>
      </c>
      <c r="I86" s="18">
        <v>50</v>
      </c>
      <c r="K86" s="21" t="s">
        <v>198</v>
      </c>
      <c r="M86" s="18">
        <v>60</v>
      </c>
      <c r="O86" s="30" t="s">
        <v>37</v>
      </c>
      <c r="Q86" s="18">
        <v>70</v>
      </c>
      <c r="S86" s="26" t="s">
        <v>188</v>
      </c>
      <c r="AA86" s="18">
        <v>50</v>
      </c>
      <c r="AC86" s="24" t="s">
        <v>37</v>
      </c>
      <c r="AE86" s="18">
        <v>50</v>
      </c>
      <c r="AI86" s="18">
        <v>50</v>
      </c>
    </row>
    <row r="87" spans="1:35" x14ac:dyDescent="0.25">
      <c r="A87" s="18">
        <v>30</v>
      </c>
      <c r="C87" s="27" t="s">
        <v>37</v>
      </c>
      <c r="E87" s="18">
        <v>30</v>
      </c>
      <c r="I87" s="18">
        <v>30</v>
      </c>
      <c r="M87" s="18">
        <v>20</v>
      </c>
      <c r="O87" s="30" t="s">
        <v>53</v>
      </c>
      <c r="Q87" s="18">
        <v>10</v>
      </c>
      <c r="S87" s="23" t="s">
        <v>53</v>
      </c>
      <c r="AA87" s="18">
        <v>30</v>
      </c>
      <c r="AC87" s="24" t="s">
        <v>37</v>
      </c>
      <c r="AE87" s="18">
        <v>30</v>
      </c>
      <c r="AI87" s="18">
        <v>30</v>
      </c>
    </row>
    <row r="88" spans="1:35" x14ac:dyDescent="0.25">
      <c r="A88" s="18">
        <v>10</v>
      </c>
      <c r="C88" s="27" t="s">
        <v>36</v>
      </c>
      <c r="E88" s="18">
        <v>10</v>
      </c>
      <c r="I88" s="18">
        <v>10</v>
      </c>
      <c r="M88" s="18">
        <v>10</v>
      </c>
      <c r="O88" s="30" t="s">
        <v>37</v>
      </c>
      <c r="Q88" s="18">
        <v>10</v>
      </c>
      <c r="S88" s="23" t="s">
        <v>37</v>
      </c>
      <c r="AA88" s="18">
        <v>10</v>
      </c>
      <c r="AC88" s="24" t="s">
        <v>36</v>
      </c>
      <c r="AE88" s="18">
        <v>10</v>
      </c>
      <c r="AI88" s="18">
        <v>10</v>
      </c>
    </row>
    <row r="89" spans="1:35" x14ac:dyDescent="0.25">
      <c r="A89" s="18">
        <v>10</v>
      </c>
      <c r="C89" s="27" t="s">
        <v>167</v>
      </c>
      <c r="E89" s="18">
        <v>10</v>
      </c>
      <c r="I89" s="18">
        <v>10</v>
      </c>
      <c r="M89" s="18">
        <v>10</v>
      </c>
      <c r="O89" s="30" t="s">
        <v>188</v>
      </c>
      <c r="Q89" s="18">
        <v>10</v>
      </c>
      <c r="S89" s="23" t="s">
        <v>36</v>
      </c>
      <c r="AA89" s="18">
        <v>10</v>
      </c>
      <c r="AC89" s="24" t="s">
        <v>167</v>
      </c>
      <c r="AE89" s="18">
        <v>10</v>
      </c>
      <c r="AI89" s="18">
        <v>10</v>
      </c>
    </row>
    <row r="90" spans="1:35" x14ac:dyDescent="0.25">
      <c r="G90" s="25"/>
    </row>
    <row r="93" spans="1:35" x14ac:dyDescent="0.25">
      <c r="B93" s="20" t="s">
        <v>136</v>
      </c>
      <c r="N93" s="30" t="s">
        <v>55</v>
      </c>
      <c r="AB93" s="20" t="s">
        <v>136</v>
      </c>
    </row>
    <row r="94" spans="1:35" x14ac:dyDescent="0.25">
      <c r="A94" s="18">
        <v>50</v>
      </c>
      <c r="C94" s="27" t="s">
        <v>53</v>
      </c>
      <c r="E94" s="18">
        <v>50</v>
      </c>
      <c r="I94" s="18">
        <v>50</v>
      </c>
      <c r="M94" s="18">
        <v>50</v>
      </c>
      <c r="O94" s="30" t="s">
        <v>53</v>
      </c>
      <c r="AA94" s="18">
        <v>50</v>
      </c>
      <c r="AC94" s="24" t="s">
        <v>53</v>
      </c>
      <c r="AE94" s="18">
        <v>50</v>
      </c>
      <c r="AI94" s="18">
        <v>50</v>
      </c>
    </row>
    <row r="95" spans="1:35" x14ac:dyDescent="0.25">
      <c r="A95" s="18">
        <v>30</v>
      </c>
      <c r="C95" s="27" t="s">
        <v>53</v>
      </c>
      <c r="E95" s="18">
        <v>30</v>
      </c>
      <c r="I95" s="18">
        <v>30</v>
      </c>
      <c r="M95" s="18">
        <v>30</v>
      </c>
      <c r="O95" s="30" t="s">
        <v>53</v>
      </c>
      <c r="AA95" s="18">
        <v>30</v>
      </c>
      <c r="AC95" s="24" t="s">
        <v>53</v>
      </c>
      <c r="AE95" s="18">
        <v>30</v>
      </c>
      <c r="AI95" s="18">
        <v>30</v>
      </c>
    </row>
    <row r="96" spans="1:35" x14ac:dyDescent="0.25">
      <c r="A96" s="18">
        <v>10</v>
      </c>
      <c r="C96" s="27" t="s">
        <v>53</v>
      </c>
      <c r="E96" s="18">
        <v>10</v>
      </c>
      <c r="I96" s="18">
        <v>10</v>
      </c>
      <c r="M96" s="18">
        <v>10</v>
      </c>
      <c r="O96" s="30" t="s">
        <v>41</v>
      </c>
      <c r="AA96" s="18">
        <v>10</v>
      </c>
      <c r="AC96" s="24" t="s">
        <v>53</v>
      </c>
      <c r="AE96" s="18">
        <v>10</v>
      </c>
      <c r="AI96" s="18">
        <v>10</v>
      </c>
    </row>
    <row r="97" spans="1:35" x14ac:dyDescent="0.25">
      <c r="A97" s="18">
        <v>10</v>
      </c>
      <c r="C97" s="27" t="s">
        <v>167</v>
      </c>
      <c r="E97" s="18">
        <v>10</v>
      </c>
      <c r="I97" s="18">
        <v>10</v>
      </c>
      <c r="M97" s="18">
        <v>10</v>
      </c>
      <c r="O97" s="30" t="s">
        <v>57</v>
      </c>
      <c r="AA97" s="18">
        <v>10</v>
      </c>
      <c r="AC97" s="24" t="s">
        <v>167</v>
      </c>
      <c r="AE97" s="18">
        <v>10</v>
      </c>
      <c r="AI97" s="18">
        <v>10</v>
      </c>
    </row>
    <row r="101" spans="1:35" x14ac:dyDescent="0.25">
      <c r="B101" s="20" t="s">
        <v>137</v>
      </c>
      <c r="N101" s="30" t="s">
        <v>50</v>
      </c>
      <c r="AB101" s="20" t="s">
        <v>137</v>
      </c>
    </row>
    <row r="102" spans="1:35" x14ac:dyDescent="0.25">
      <c r="A102" s="18">
        <v>50</v>
      </c>
      <c r="C102" s="27" t="s">
        <v>51</v>
      </c>
      <c r="E102" s="18">
        <v>50</v>
      </c>
      <c r="I102" s="18">
        <v>50</v>
      </c>
      <c r="M102" s="18">
        <v>50</v>
      </c>
      <c r="O102" s="30" t="s">
        <v>26</v>
      </c>
      <c r="AA102" s="18">
        <v>50</v>
      </c>
      <c r="AC102" s="24" t="s">
        <v>51</v>
      </c>
      <c r="AE102" s="18">
        <v>50</v>
      </c>
      <c r="AI102" s="18">
        <v>50</v>
      </c>
    </row>
    <row r="103" spans="1:35" x14ac:dyDescent="0.25">
      <c r="A103" s="18">
        <v>30</v>
      </c>
      <c r="C103" s="27" t="s">
        <v>51</v>
      </c>
      <c r="E103" s="18">
        <v>30</v>
      </c>
      <c r="I103" s="18">
        <v>30</v>
      </c>
      <c r="M103" s="18">
        <v>30</v>
      </c>
      <c r="O103" s="30" t="s">
        <v>51</v>
      </c>
      <c r="AA103" s="18">
        <v>30</v>
      </c>
      <c r="AC103" s="24" t="s">
        <v>51</v>
      </c>
      <c r="AE103" s="18">
        <v>30</v>
      </c>
      <c r="AI103" s="18">
        <v>30</v>
      </c>
    </row>
    <row r="104" spans="1:35" x14ac:dyDescent="0.25">
      <c r="A104" s="18">
        <v>10</v>
      </c>
      <c r="C104" s="27" t="s">
        <v>166</v>
      </c>
      <c r="E104" s="18">
        <v>10</v>
      </c>
      <c r="I104" s="18">
        <v>10</v>
      </c>
      <c r="M104" s="18">
        <v>10</v>
      </c>
      <c r="O104" s="30" t="s">
        <v>27</v>
      </c>
      <c r="AA104" s="18">
        <v>10</v>
      </c>
      <c r="AC104" s="24" t="s">
        <v>166</v>
      </c>
      <c r="AE104" s="18">
        <v>10</v>
      </c>
      <c r="AI104" s="18">
        <v>10</v>
      </c>
    </row>
    <row r="105" spans="1:35" x14ac:dyDescent="0.25">
      <c r="A105" s="18">
        <v>10</v>
      </c>
      <c r="C105" s="27" t="s">
        <v>167</v>
      </c>
      <c r="E105" s="18">
        <v>10</v>
      </c>
      <c r="I105" s="18">
        <v>10</v>
      </c>
      <c r="M105" s="18">
        <v>10</v>
      </c>
      <c r="O105" s="30" t="s">
        <v>189</v>
      </c>
      <c r="AA105" s="18">
        <v>10</v>
      </c>
      <c r="AC105" s="24" t="s">
        <v>167</v>
      </c>
      <c r="AE105" s="18">
        <v>10</v>
      </c>
      <c r="AI105" s="18">
        <v>10</v>
      </c>
    </row>
    <row r="109" spans="1:35" x14ac:dyDescent="0.25">
      <c r="B109" s="20" t="s">
        <v>138</v>
      </c>
      <c r="N109" s="30" t="s">
        <v>50</v>
      </c>
      <c r="AB109" s="20" t="s">
        <v>138</v>
      </c>
    </row>
    <row r="110" spans="1:35" x14ac:dyDescent="0.25">
      <c r="A110" s="18">
        <v>50</v>
      </c>
      <c r="C110" s="27" t="s">
        <v>51</v>
      </c>
      <c r="E110" s="18">
        <v>50</v>
      </c>
      <c r="I110" s="18">
        <v>50</v>
      </c>
      <c r="M110" s="18">
        <v>50</v>
      </c>
      <c r="O110" s="30" t="s">
        <v>26</v>
      </c>
      <c r="AA110" s="18">
        <v>50</v>
      </c>
      <c r="AC110" s="24" t="s">
        <v>51</v>
      </c>
      <c r="AE110" s="18">
        <v>50</v>
      </c>
      <c r="AI110" s="18">
        <v>50</v>
      </c>
    </row>
    <row r="111" spans="1:35" x14ac:dyDescent="0.25">
      <c r="A111" s="18">
        <v>30</v>
      </c>
      <c r="C111" s="27" t="s">
        <v>51</v>
      </c>
      <c r="E111" s="18">
        <v>30</v>
      </c>
      <c r="I111" s="18">
        <v>30</v>
      </c>
      <c r="M111" s="18">
        <v>30</v>
      </c>
      <c r="O111" s="30" t="s">
        <v>51</v>
      </c>
      <c r="AA111" s="18">
        <v>30</v>
      </c>
      <c r="AC111" s="24" t="s">
        <v>51</v>
      </c>
      <c r="AE111" s="18">
        <v>30</v>
      </c>
      <c r="AI111" s="18">
        <v>30</v>
      </c>
    </row>
    <row r="112" spans="1:35" x14ac:dyDescent="0.25">
      <c r="A112" s="18">
        <v>10</v>
      </c>
      <c r="C112" s="27" t="s">
        <v>166</v>
      </c>
      <c r="E112" s="18">
        <v>10</v>
      </c>
      <c r="I112" s="18">
        <v>10</v>
      </c>
      <c r="M112" s="18">
        <v>10</v>
      </c>
      <c r="O112" s="30" t="s">
        <v>27</v>
      </c>
      <c r="AA112" s="18">
        <v>10</v>
      </c>
      <c r="AC112" s="24" t="s">
        <v>166</v>
      </c>
      <c r="AE112" s="18">
        <v>10</v>
      </c>
      <c r="AI112" s="18">
        <v>10</v>
      </c>
    </row>
    <row r="113" spans="1:35" x14ac:dyDescent="0.25">
      <c r="A113" s="18">
        <v>10</v>
      </c>
      <c r="C113" s="27" t="s">
        <v>167</v>
      </c>
      <c r="E113" s="18">
        <v>10</v>
      </c>
      <c r="I113" s="18">
        <v>10</v>
      </c>
      <c r="M113" s="18">
        <v>10</v>
      </c>
      <c r="O113" s="30" t="s">
        <v>189</v>
      </c>
      <c r="AA113" s="18">
        <v>10</v>
      </c>
      <c r="AC113" s="24" t="s">
        <v>167</v>
      </c>
      <c r="AE113" s="18">
        <v>10</v>
      </c>
      <c r="AI113" s="18">
        <v>10</v>
      </c>
    </row>
    <row r="117" spans="1:35" x14ac:dyDescent="0.25">
      <c r="B117" s="20" t="s">
        <v>139</v>
      </c>
      <c r="N117" s="30" t="s">
        <v>44</v>
      </c>
      <c r="AB117" s="20" t="s">
        <v>139</v>
      </c>
    </row>
    <row r="118" spans="1:35" x14ac:dyDescent="0.25">
      <c r="A118" s="18">
        <v>50</v>
      </c>
      <c r="C118" s="27" t="s">
        <v>53</v>
      </c>
      <c r="E118" s="18">
        <v>50</v>
      </c>
      <c r="I118" s="18">
        <v>50</v>
      </c>
      <c r="M118" s="18">
        <v>50</v>
      </c>
      <c r="O118" s="30" t="s">
        <v>45</v>
      </c>
      <c r="AA118" s="18">
        <v>50</v>
      </c>
      <c r="AC118" s="24" t="s">
        <v>53</v>
      </c>
      <c r="AE118" s="18">
        <v>50</v>
      </c>
      <c r="AI118" s="18">
        <v>50</v>
      </c>
    </row>
    <row r="119" spans="1:35" x14ac:dyDescent="0.25">
      <c r="A119" s="18">
        <v>30</v>
      </c>
      <c r="C119" s="27" t="s">
        <v>53</v>
      </c>
      <c r="E119" s="18">
        <v>30</v>
      </c>
      <c r="I119" s="18">
        <v>30</v>
      </c>
      <c r="M119" s="18">
        <v>30</v>
      </c>
      <c r="O119" s="30" t="s">
        <v>53</v>
      </c>
      <c r="AA119" s="18">
        <v>30</v>
      </c>
      <c r="AC119" s="24" t="s">
        <v>53</v>
      </c>
      <c r="AE119" s="18">
        <v>30</v>
      </c>
      <c r="AI119" s="18">
        <v>30</v>
      </c>
    </row>
    <row r="120" spans="1:35" x14ac:dyDescent="0.25">
      <c r="A120" s="18">
        <v>10</v>
      </c>
      <c r="C120" s="27" t="s">
        <v>53</v>
      </c>
      <c r="E120" s="18">
        <v>10</v>
      </c>
      <c r="I120" s="18">
        <v>10</v>
      </c>
      <c r="M120" s="18">
        <v>10</v>
      </c>
      <c r="O120" s="30" t="s">
        <v>45</v>
      </c>
      <c r="AA120" s="18">
        <v>10</v>
      </c>
      <c r="AC120" s="24" t="s">
        <v>53</v>
      </c>
      <c r="AE120" s="18">
        <v>10</v>
      </c>
      <c r="AI120" s="18">
        <v>10</v>
      </c>
    </row>
    <row r="121" spans="1:35" x14ac:dyDescent="0.25">
      <c r="A121" s="18">
        <v>10</v>
      </c>
      <c r="C121" s="27" t="s">
        <v>167</v>
      </c>
      <c r="E121" s="18">
        <v>10</v>
      </c>
      <c r="I121" s="18">
        <v>10</v>
      </c>
      <c r="M121" s="18">
        <v>10</v>
      </c>
      <c r="O121" s="30" t="s">
        <v>46</v>
      </c>
      <c r="AA121" s="18">
        <v>10</v>
      </c>
      <c r="AC121" s="24" t="s">
        <v>167</v>
      </c>
      <c r="AE121" s="18">
        <v>10</v>
      </c>
      <c r="AI121" s="18">
        <v>10</v>
      </c>
    </row>
    <row r="125" spans="1:35" x14ac:dyDescent="0.25">
      <c r="B125" s="20" t="s">
        <v>140</v>
      </c>
      <c r="N125" s="30" t="s">
        <v>47</v>
      </c>
      <c r="AB125" s="20" t="s">
        <v>140</v>
      </c>
    </row>
    <row r="126" spans="1:35" x14ac:dyDescent="0.25">
      <c r="A126" s="18">
        <v>50</v>
      </c>
      <c r="C126" s="27" t="s">
        <v>37</v>
      </c>
      <c r="E126" s="18">
        <v>50</v>
      </c>
      <c r="I126" s="18">
        <v>50</v>
      </c>
      <c r="M126" s="18">
        <v>50</v>
      </c>
      <c r="O126" s="30" t="s">
        <v>37</v>
      </c>
      <c r="AA126" s="18">
        <v>50</v>
      </c>
      <c r="AC126" s="24" t="s">
        <v>37</v>
      </c>
      <c r="AE126" s="18">
        <v>50</v>
      </c>
      <c r="AI126" s="18">
        <v>50</v>
      </c>
    </row>
    <row r="127" spans="1:35" x14ac:dyDescent="0.25">
      <c r="A127" s="18">
        <v>30</v>
      </c>
      <c r="C127" s="27" t="s">
        <v>37</v>
      </c>
      <c r="E127" s="18">
        <v>30</v>
      </c>
      <c r="I127" s="18">
        <v>30</v>
      </c>
      <c r="M127" s="18">
        <v>30</v>
      </c>
      <c r="O127" s="30" t="s">
        <v>53</v>
      </c>
      <c r="AA127" s="18">
        <v>30</v>
      </c>
      <c r="AC127" s="24" t="s">
        <v>37</v>
      </c>
      <c r="AE127" s="18">
        <v>30</v>
      </c>
      <c r="AI127" s="18">
        <v>30</v>
      </c>
    </row>
    <row r="128" spans="1:35" x14ac:dyDescent="0.25">
      <c r="A128" s="18">
        <v>10</v>
      </c>
      <c r="C128" s="27" t="s">
        <v>36</v>
      </c>
      <c r="E128" s="18">
        <v>10</v>
      </c>
      <c r="I128" s="18">
        <v>10</v>
      </c>
      <c r="M128" s="18">
        <v>10</v>
      </c>
      <c r="O128" s="30" t="s">
        <v>37</v>
      </c>
      <c r="AA128" s="18">
        <v>10</v>
      </c>
      <c r="AC128" s="24" t="s">
        <v>36</v>
      </c>
      <c r="AE128" s="18">
        <v>10</v>
      </c>
      <c r="AI128" s="18">
        <v>10</v>
      </c>
    </row>
    <row r="129" spans="1:35" x14ac:dyDescent="0.25">
      <c r="A129" s="18">
        <v>10</v>
      </c>
      <c r="C129" s="27" t="s">
        <v>167</v>
      </c>
      <c r="E129" s="18">
        <v>10</v>
      </c>
      <c r="I129" s="18">
        <v>10</v>
      </c>
      <c r="M129" s="18">
        <v>10</v>
      </c>
      <c r="O129" s="30" t="s">
        <v>36</v>
      </c>
      <c r="AA129" s="18">
        <v>10</v>
      </c>
      <c r="AC129" s="24" t="s">
        <v>167</v>
      </c>
      <c r="AE129" s="18">
        <v>10</v>
      </c>
      <c r="AI129" s="18">
        <v>10</v>
      </c>
    </row>
    <row r="133" spans="1:35" x14ac:dyDescent="0.25">
      <c r="B133" s="20" t="s">
        <v>141</v>
      </c>
      <c r="N133" s="30" t="s">
        <v>47</v>
      </c>
      <c r="AB133" s="20" t="s">
        <v>141</v>
      </c>
    </row>
    <row r="134" spans="1:35" x14ac:dyDescent="0.25">
      <c r="A134" s="18">
        <v>50</v>
      </c>
      <c r="C134" s="27" t="s">
        <v>21</v>
      </c>
      <c r="E134" s="18">
        <v>50</v>
      </c>
      <c r="I134" s="18">
        <v>50</v>
      </c>
      <c r="M134" s="18">
        <v>50</v>
      </c>
      <c r="O134" s="30" t="s">
        <v>37</v>
      </c>
      <c r="AA134" s="18">
        <v>50</v>
      </c>
      <c r="AC134" s="24" t="s">
        <v>21</v>
      </c>
      <c r="AE134" s="18">
        <v>50</v>
      </c>
      <c r="AI134" s="18">
        <v>50</v>
      </c>
    </row>
    <row r="135" spans="1:35" x14ac:dyDescent="0.25">
      <c r="A135" s="18">
        <v>30</v>
      </c>
      <c r="C135" s="27" t="s">
        <v>64</v>
      </c>
      <c r="E135" s="18">
        <v>30</v>
      </c>
      <c r="I135" s="18">
        <v>30</v>
      </c>
      <c r="M135" s="18">
        <v>30</v>
      </c>
      <c r="O135" s="30" t="s">
        <v>53</v>
      </c>
      <c r="AA135" s="18">
        <v>30</v>
      </c>
      <c r="AC135" s="24" t="s">
        <v>64</v>
      </c>
      <c r="AE135" s="18">
        <v>30</v>
      </c>
      <c r="AI135" s="18">
        <v>30</v>
      </c>
    </row>
    <row r="136" spans="1:35" x14ac:dyDescent="0.25">
      <c r="A136" s="18">
        <v>10</v>
      </c>
      <c r="C136" s="27" t="s">
        <v>64</v>
      </c>
      <c r="E136" s="18">
        <v>10</v>
      </c>
      <c r="I136" s="18">
        <v>10</v>
      </c>
      <c r="M136" s="18">
        <v>10</v>
      </c>
      <c r="O136" s="30" t="s">
        <v>37</v>
      </c>
      <c r="AA136" s="18">
        <v>10</v>
      </c>
      <c r="AC136" s="24" t="s">
        <v>64</v>
      </c>
      <c r="AE136" s="18">
        <v>10</v>
      </c>
      <c r="AI136" s="18">
        <v>10</v>
      </c>
    </row>
    <row r="137" spans="1:35" x14ac:dyDescent="0.25">
      <c r="A137" s="18">
        <v>10</v>
      </c>
      <c r="C137" s="27" t="s">
        <v>167</v>
      </c>
      <c r="E137" s="18">
        <v>10</v>
      </c>
      <c r="I137" s="18">
        <v>10</v>
      </c>
      <c r="M137" s="18">
        <v>10</v>
      </c>
      <c r="O137" s="30" t="s">
        <v>36</v>
      </c>
      <c r="AA137" s="18">
        <v>10</v>
      </c>
      <c r="AC137" s="24" t="s">
        <v>167</v>
      </c>
      <c r="AE137" s="18">
        <v>10</v>
      </c>
      <c r="AI137" s="18">
        <v>10</v>
      </c>
    </row>
    <row r="141" spans="1:35" x14ac:dyDescent="0.25">
      <c r="B141" s="20" t="s">
        <v>142</v>
      </c>
      <c r="N141" s="30" t="s">
        <v>44</v>
      </c>
      <c r="AB141" s="20" t="s">
        <v>142</v>
      </c>
    </row>
    <row r="142" spans="1:35" x14ac:dyDescent="0.25">
      <c r="A142" s="18">
        <v>50</v>
      </c>
      <c r="C142" s="27" t="s">
        <v>21</v>
      </c>
      <c r="E142" s="18">
        <v>50</v>
      </c>
      <c r="I142" s="18">
        <v>50</v>
      </c>
      <c r="M142" s="18">
        <v>50</v>
      </c>
      <c r="O142" s="30" t="s">
        <v>45</v>
      </c>
      <c r="AA142" s="18">
        <v>50</v>
      </c>
      <c r="AC142" s="24" t="s">
        <v>21</v>
      </c>
      <c r="AE142" s="18">
        <v>50</v>
      </c>
      <c r="AI142" s="18">
        <v>50</v>
      </c>
    </row>
    <row r="143" spans="1:35" x14ac:dyDescent="0.25">
      <c r="A143" s="18">
        <v>30</v>
      </c>
      <c r="C143" s="27" t="s">
        <v>64</v>
      </c>
      <c r="E143" s="18">
        <v>30</v>
      </c>
      <c r="I143" s="18">
        <v>30</v>
      </c>
      <c r="M143" s="18">
        <v>30</v>
      </c>
      <c r="O143" s="30" t="s">
        <v>53</v>
      </c>
      <c r="AA143" s="18">
        <v>30</v>
      </c>
      <c r="AC143" s="24" t="s">
        <v>64</v>
      </c>
      <c r="AE143" s="18">
        <v>30</v>
      </c>
      <c r="AI143" s="18">
        <v>30</v>
      </c>
    </row>
    <row r="144" spans="1:35" x14ac:dyDescent="0.25">
      <c r="A144" s="18">
        <v>10</v>
      </c>
      <c r="C144" s="27" t="s">
        <v>64</v>
      </c>
      <c r="E144" s="18">
        <v>10</v>
      </c>
      <c r="I144" s="18">
        <v>10</v>
      </c>
      <c r="M144" s="18">
        <v>10</v>
      </c>
      <c r="O144" s="30" t="s">
        <v>45</v>
      </c>
      <c r="AA144" s="18">
        <v>10</v>
      </c>
      <c r="AC144" s="24" t="s">
        <v>64</v>
      </c>
      <c r="AE144" s="18">
        <v>10</v>
      </c>
      <c r="AI144" s="18">
        <v>10</v>
      </c>
    </row>
    <row r="145" spans="1:35" x14ac:dyDescent="0.25">
      <c r="A145" s="18">
        <v>10</v>
      </c>
      <c r="C145" s="27" t="s">
        <v>167</v>
      </c>
      <c r="E145" s="18">
        <v>10</v>
      </c>
      <c r="I145" s="18">
        <v>10</v>
      </c>
      <c r="M145" s="18">
        <v>10</v>
      </c>
      <c r="O145" s="30" t="s">
        <v>46</v>
      </c>
      <c r="AA145" s="18">
        <v>10</v>
      </c>
      <c r="AC145" s="24" t="s">
        <v>167</v>
      </c>
      <c r="AE145" s="18">
        <v>10</v>
      </c>
      <c r="AI145" s="18">
        <v>10</v>
      </c>
    </row>
    <row r="149" spans="1:35" x14ac:dyDescent="0.25">
      <c r="B149" s="20" t="s">
        <v>143</v>
      </c>
      <c r="N149" s="30" t="s">
        <v>44</v>
      </c>
      <c r="AB149" s="20" t="s">
        <v>143</v>
      </c>
    </row>
    <row r="150" spans="1:35" x14ac:dyDescent="0.25">
      <c r="A150" s="18">
        <v>50</v>
      </c>
      <c r="C150" s="27" t="s">
        <v>21</v>
      </c>
      <c r="E150" s="18">
        <v>50</v>
      </c>
      <c r="I150" s="18">
        <v>50</v>
      </c>
      <c r="M150" s="18">
        <v>50</v>
      </c>
      <c r="O150" s="30" t="s">
        <v>45</v>
      </c>
      <c r="AA150" s="18">
        <v>50</v>
      </c>
      <c r="AC150" s="24" t="s">
        <v>21</v>
      </c>
      <c r="AE150" s="18">
        <v>50</v>
      </c>
      <c r="AI150" s="18">
        <v>50</v>
      </c>
    </row>
    <row r="151" spans="1:35" x14ac:dyDescent="0.25">
      <c r="A151" s="18">
        <v>30</v>
      </c>
      <c r="C151" s="27" t="s">
        <v>64</v>
      </c>
      <c r="E151" s="18">
        <v>30</v>
      </c>
      <c r="I151" s="18">
        <v>30</v>
      </c>
      <c r="M151" s="18">
        <v>30</v>
      </c>
      <c r="O151" s="30" t="s">
        <v>53</v>
      </c>
      <c r="AA151" s="18">
        <v>30</v>
      </c>
      <c r="AC151" s="24" t="s">
        <v>64</v>
      </c>
      <c r="AE151" s="18">
        <v>30</v>
      </c>
      <c r="AI151" s="18">
        <v>30</v>
      </c>
    </row>
    <row r="152" spans="1:35" x14ac:dyDescent="0.25">
      <c r="A152" s="18">
        <v>10</v>
      </c>
      <c r="C152" s="27" t="s">
        <v>64</v>
      </c>
      <c r="E152" s="18">
        <v>10</v>
      </c>
      <c r="I152" s="18">
        <v>10</v>
      </c>
      <c r="M152" s="18">
        <v>10</v>
      </c>
      <c r="O152" s="30" t="s">
        <v>45</v>
      </c>
      <c r="AA152" s="18">
        <v>10</v>
      </c>
      <c r="AC152" s="24" t="s">
        <v>64</v>
      </c>
      <c r="AE152" s="18">
        <v>10</v>
      </c>
      <c r="AI152" s="18">
        <v>10</v>
      </c>
    </row>
    <row r="153" spans="1:35" x14ac:dyDescent="0.25">
      <c r="A153" s="18">
        <v>10</v>
      </c>
      <c r="C153" s="27" t="s">
        <v>167</v>
      </c>
      <c r="E153" s="18">
        <v>10</v>
      </c>
      <c r="I153" s="18">
        <v>10</v>
      </c>
      <c r="M153" s="18">
        <v>10</v>
      </c>
      <c r="O153" s="30" t="s">
        <v>46</v>
      </c>
      <c r="AA153" s="18">
        <v>10</v>
      </c>
      <c r="AC153" s="24" t="s">
        <v>167</v>
      </c>
      <c r="AE153" s="18">
        <v>10</v>
      </c>
      <c r="AI153" s="18">
        <v>10</v>
      </c>
    </row>
    <row r="157" spans="1:35" x14ac:dyDescent="0.25">
      <c r="B157" s="20" t="s">
        <v>144</v>
      </c>
      <c r="N157" s="30" t="s">
        <v>50</v>
      </c>
      <c r="AB157" s="20" t="s">
        <v>144</v>
      </c>
    </row>
    <row r="158" spans="1:35" x14ac:dyDescent="0.25">
      <c r="A158" s="18">
        <v>50</v>
      </c>
      <c r="C158" s="27" t="s">
        <v>51</v>
      </c>
      <c r="E158" s="18">
        <v>50</v>
      </c>
      <c r="I158" s="18">
        <v>50</v>
      </c>
      <c r="M158" s="18">
        <v>50</v>
      </c>
      <c r="O158" s="30" t="s">
        <v>26</v>
      </c>
      <c r="AA158" s="18">
        <v>50</v>
      </c>
      <c r="AC158" s="24" t="s">
        <v>51</v>
      </c>
      <c r="AE158" s="18">
        <v>50</v>
      </c>
      <c r="AI158" s="18">
        <v>50</v>
      </c>
    </row>
    <row r="159" spans="1:35" x14ac:dyDescent="0.25">
      <c r="A159" s="18">
        <v>30</v>
      </c>
      <c r="C159" s="27" t="s">
        <v>64</v>
      </c>
      <c r="E159" s="18">
        <v>30</v>
      </c>
      <c r="I159" s="18">
        <v>30</v>
      </c>
      <c r="M159" s="18">
        <v>30</v>
      </c>
      <c r="O159" s="30" t="s">
        <v>51</v>
      </c>
      <c r="AA159" s="18">
        <v>30</v>
      </c>
      <c r="AC159" s="24" t="s">
        <v>64</v>
      </c>
      <c r="AE159" s="18">
        <v>30</v>
      </c>
      <c r="AI159" s="18">
        <v>30</v>
      </c>
    </row>
    <row r="160" spans="1:35" x14ac:dyDescent="0.25">
      <c r="A160" s="18">
        <v>10</v>
      </c>
      <c r="C160" s="27" t="s">
        <v>166</v>
      </c>
      <c r="E160" s="18">
        <v>10</v>
      </c>
      <c r="I160" s="18">
        <v>10</v>
      </c>
      <c r="M160" s="18">
        <v>10</v>
      </c>
      <c r="O160" s="30" t="s">
        <v>27</v>
      </c>
      <c r="AA160" s="18">
        <v>10</v>
      </c>
      <c r="AC160" s="24" t="s">
        <v>166</v>
      </c>
      <c r="AE160" s="18">
        <v>10</v>
      </c>
      <c r="AI160" s="18">
        <v>10</v>
      </c>
    </row>
    <row r="161" spans="1:35" x14ac:dyDescent="0.25">
      <c r="A161" s="18">
        <v>10</v>
      </c>
      <c r="C161" s="27" t="s">
        <v>167</v>
      </c>
      <c r="E161" s="18">
        <v>10</v>
      </c>
      <c r="I161" s="18">
        <v>10</v>
      </c>
      <c r="M161" s="18">
        <v>10</v>
      </c>
      <c r="O161" s="30" t="s">
        <v>189</v>
      </c>
      <c r="AA161" s="18">
        <v>10</v>
      </c>
      <c r="AC161" s="24" t="s">
        <v>167</v>
      </c>
      <c r="AE161" s="18">
        <v>10</v>
      </c>
      <c r="AI161" s="18">
        <v>10</v>
      </c>
    </row>
    <row r="165" spans="1:35" x14ac:dyDescent="0.25">
      <c r="B165" s="20" t="s">
        <v>145</v>
      </c>
      <c r="N165" s="30" t="s">
        <v>44</v>
      </c>
      <c r="AB165" s="20" t="s">
        <v>145</v>
      </c>
    </row>
    <row r="166" spans="1:35" x14ac:dyDescent="0.25">
      <c r="A166" s="18">
        <v>50</v>
      </c>
      <c r="C166" s="27" t="s">
        <v>39</v>
      </c>
      <c r="E166" s="18">
        <v>50</v>
      </c>
      <c r="I166" s="18">
        <v>50</v>
      </c>
      <c r="M166" s="18">
        <v>50</v>
      </c>
      <c r="O166" s="30" t="s">
        <v>45</v>
      </c>
      <c r="AA166" s="18">
        <v>50</v>
      </c>
      <c r="AC166" s="24" t="s">
        <v>39</v>
      </c>
      <c r="AE166" s="18">
        <v>50</v>
      </c>
      <c r="AI166" s="18">
        <v>50</v>
      </c>
    </row>
    <row r="167" spans="1:35" x14ac:dyDescent="0.25">
      <c r="A167" s="18">
        <v>30</v>
      </c>
      <c r="C167" s="27" t="s">
        <v>39</v>
      </c>
      <c r="E167" s="18">
        <v>30</v>
      </c>
      <c r="I167" s="18">
        <v>30</v>
      </c>
      <c r="M167" s="18">
        <v>30</v>
      </c>
      <c r="O167" s="30" t="s">
        <v>53</v>
      </c>
      <c r="AA167" s="18">
        <v>30</v>
      </c>
      <c r="AC167" s="24" t="s">
        <v>39</v>
      </c>
      <c r="AE167" s="18">
        <v>30</v>
      </c>
      <c r="AI167" s="18">
        <v>30</v>
      </c>
    </row>
    <row r="168" spans="1:35" x14ac:dyDescent="0.25">
      <c r="A168" s="18">
        <v>10</v>
      </c>
      <c r="C168" s="27" t="s">
        <v>39</v>
      </c>
      <c r="E168" s="18">
        <v>10</v>
      </c>
      <c r="I168" s="18">
        <v>10</v>
      </c>
      <c r="M168" s="18">
        <v>10</v>
      </c>
      <c r="O168" s="30" t="s">
        <v>45</v>
      </c>
      <c r="AA168" s="18">
        <v>10</v>
      </c>
      <c r="AC168" s="24" t="s">
        <v>39</v>
      </c>
      <c r="AE168" s="18">
        <v>10</v>
      </c>
      <c r="AI168" s="18">
        <v>10</v>
      </c>
    </row>
    <row r="169" spans="1:35" x14ac:dyDescent="0.25">
      <c r="A169" s="18">
        <v>10</v>
      </c>
      <c r="C169" s="27" t="s">
        <v>167</v>
      </c>
      <c r="E169" s="18">
        <v>10</v>
      </c>
      <c r="I169" s="18">
        <v>10</v>
      </c>
      <c r="M169" s="18">
        <v>10</v>
      </c>
      <c r="O169" s="30" t="s">
        <v>46</v>
      </c>
      <c r="AA169" s="18">
        <v>10</v>
      </c>
      <c r="AC169" s="24" t="s">
        <v>167</v>
      </c>
      <c r="AE169" s="18">
        <v>10</v>
      </c>
      <c r="AI169" s="18">
        <v>10</v>
      </c>
    </row>
    <row r="173" spans="1:35" x14ac:dyDescent="0.25">
      <c r="B173" s="20" t="s">
        <v>146</v>
      </c>
      <c r="N173" s="30" t="s">
        <v>44</v>
      </c>
      <c r="AB173" s="20" t="s">
        <v>146</v>
      </c>
    </row>
    <row r="174" spans="1:35" x14ac:dyDescent="0.25">
      <c r="A174" s="18">
        <v>50</v>
      </c>
      <c r="C174" s="27" t="s">
        <v>39</v>
      </c>
      <c r="E174" s="18">
        <v>50</v>
      </c>
      <c r="I174" s="18">
        <v>50</v>
      </c>
      <c r="M174" s="18">
        <v>50</v>
      </c>
      <c r="O174" s="30" t="s">
        <v>45</v>
      </c>
      <c r="AA174" s="18">
        <v>50</v>
      </c>
      <c r="AC174" s="24" t="s">
        <v>39</v>
      </c>
      <c r="AE174" s="18">
        <v>50</v>
      </c>
      <c r="AG174" s="26" t="s">
        <v>27</v>
      </c>
      <c r="AI174" s="18">
        <v>50</v>
      </c>
    </row>
    <row r="175" spans="1:35" x14ac:dyDescent="0.25">
      <c r="A175" s="18">
        <v>30</v>
      </c>
      <c r="C175" s="27" t="s">
        <v>39</v>
      </c>
      <c r="E175" s="18">
        <v>30</v>
      </c>
      <c r="I175" s="18">
        <v>30</v>
      </c>
      <c r="M175" s="18">
        <v>30</v>
      </c>
      <c r="O175" s="30" t="s">
        <v>53</v>
      </c>
      <c r="AA175" s="18">
        <v>30</v>
      </c>
      <c r="AC175" s="24" t="s">
        <v>39</v>
      </c>
      <c r="AE175" s="18">
        <v>30</v>
      </c>
      <c r="AG175" s="22" t="s">
        <v>51</v>
      </c>
      <c r="AI175" s="18">
        <v>30</v>
      </c>
    </row>
    <row r="176" spans="1:35" x14ac:dyDescent="0.25">
      <c r="A176" s="18">
        <v>10</v>
      </c>
      <c r="C176" s="27" t="s">
        <v>52</v>
      </c>
      <c r="E176" s="18">
        <v>10</v>
      </c>
      <c r="I176" s="18">
        <v>10</v>
      </c>
      <c r="M176" s="18">
        <v>10</v>
      </c>
      <c r="O176" s="30" t="s">
        <v>45</v>
      </c>
      <c r="AA176" s="18">
        <v>10</v>
      </c>
      <c r="AC176" s="24" t="s">
        <v>52</v>
      </c>
      <c r="AE176" s="18">
        <v>10</v>
      </c>
      <c r="AG176" s="22" t="s">
        <v>49</v>
      </c>
      <c r="AI176" s="18">
        <v>10</v>
      </c>
    </row>
    <row r="177" spans="1:35" x14ac:dyDescent="0.25">
      <c r="A177" s="18">
        <v>10</v>
      </c>
      <c r="C177" s="27" t="s">
        <v>167</v>
      </c>
      <c r="E177" s="18">
        <v>10</v>
      </c>
      <c r="I177" s="18">
        <v>10</v>
      </c>
      <c r="M177" s="18">
        <v>10</v>
      </c>
      <c r="O177" s="30" t="s">
        <v>46</v>
      </c>
      <c r="AA177" s="18">
        <v>10</v>
      </c>
      <c r="AC177" s="24" t="s">
        <v>167</v>
      </c>
      <c r="AE177" s="18">
        <v>10</v>
      </c>
      <c r="AG177" s="22" t="s">
        <v>59</v>
      </c>
      <c r="AI177" s="18">
        <v>10</v>
      </c>
    </row>
    <row r="181" spans="1:35" x14ac:dyDescent="0.25">
      <c r="B181" s="20" t="s">
        <v>147</v>
      </c>
      <c r="N181" s="30" t="s">
        <v>47</v>
      </c>
      <c r="AB181" s="20" t="s">
        <v>147</v>
      </c>
    </row>
    <row r="182" spans="1:35" x14ac:dyDescent="0.25">
      <c r="A182" s="18">
        <v>50</v>
      </c>
      <c r="C182" s="27" t="s">
        <v>18</v>
      </c>
      <c r="E182" s="18">
        <v>50</v>
      </c>
      <c r="I182" s="18">
        <v>50</v>
      </c>
      <c r="M182" s="18">
        <v>50</v>
      </c>
      <c r="O182" s="30" t="s">
        <v>37</v>
      </c>
      <c r="AA182" s="18">
        <v>50</v>
      </c>
      <c r="AC182" s="24" t="s">
        <v>18</v>
      </c>
      <c r="AE182" s="18">
        <v>50</v>
      </c>
      <c r="AI182" s="18">
        <v>50</v>
      </c>
    </row>
    <row r="183" spans="1:35" x14ac:dyDescent="0.25">
      <c r="A183" s="18">
        <v>30</v>
      </c>
      <c r="C183" s="27" t="s">
        <v>18</v>
      </c>
      <c r="E183" s="18">
        <v>30</v>
      </c>
      <c r="I183" s="18">
        <v>30</v>
      </c>
      <c r="M183" s="18">
        <v>30</v>
      </c>
      <c r="O183" s="30" t="s">
        <v>53</v>
      </c>
      <c r="AA183" s="18">
        <v>30</v>
      </c>
      <c r="AC183" s="24" t="s">
        <v>18</v>
      </c>
      <c r="AE183" s="18">
        <v>30</v>
      </c>
      <c r="AI183" s="18">
        <v>30</v>
      </c>
    </row>
    <row r="184" spans="1:35" x14ac:dyDescent="0.25">
      <c r="A184" s="18">
        <v>10</v>
      </c>
      <c r="C184" s="27" t="s">
        <v>30</v>
      </c>
      <c r="E184" s="18">
        <v>10</v>
      </c>
      <c r="I184" s="18">
        <v>10</v>
      </c>
      <c r="M184" s="18">
        <v>10</v>
      </c>
      <c r="O184" s="30" t="s">
        <v>37</v>
      </c>
      <c r="AA184" s="18">
        <v>10</v>
      </c>
      <c r="AC184" s="24" t="s">
        <v>30</v>
      </c>
      <c r="AE184" s="18">
        <v>10</v>
      </c>
      <c r="AI184" s="18">
        <v>10</v>
      </c>
    </row>
    <row r="185" spans="1:35" x14ac:dyDescent="0.25">
      <c r="A185" s="18">
        <v>10</v>
      </c>
      <c r="C185" s="27" t="s">
        <v>167</v>
      </c>
      <c r="E185" s="18">
        <v>10</v>
      </c>
      <c r="I185" s="18">
        <v>10</v>
      </c>
      <c r="M185" s="18">
        <v>10</v>
      </c>
      <c r="O185" s="30" t="s">
        <v>36</v>
      </c>
      <c r="AA185" s="18">
        <v>10</v>
      </c>
      <c r="AC185" s="24" t="s">
        <v>167</v>
      </c>
      <c r="AE185" s="18">
        <v>10</v>
      </c>
      <c r="AI185" s="18">
        <v>10</v>
      </c>
    </row>
    <row r="189" spans="1:35" x14ac:dyDescent="0.25">
      <c r="B189" s="20" t="s">
        <v>148</v>
      </c>
      <c r="N189" s="30" t="s">
        <v>47</v>
      </c>
      <c r="AB189" s="20" t="s">
        <v>148</v>
      </c>
    </row>
    <row r="190" spans="1:35" x14ac:dyDescent="0.25">
      <c r="A190" s="18">
        <v>50</v>
      </c>
      <c r="C190" s="27" t="s">
        <v>37</v>
      </c>
      <c r="E190" s="18">
        <v>50</v>
      </c>
      <c r="I190" s="18">
        <v>50</v>
      </c>
      <c r="M190" s="18">
        <v>50</v>
      </c>
      <c r="O190" s="30" t="s">
        <v>37</v>
      </c>
      <c r="AA190" s="18">
        <v>50</v>
      </c>
      <c r="AC190" s="24" t="s">
        <v>37</v>
      </c>
      <c r="AE190" s="18">
        <v>50</v>
      </c>
      <c r="AI190" s="18">
        <v>50</v>
      </c>
    </row>
    <row r="191" spans="1:35" x14ac:dyDescent="0.25">
      <c r="A191" s="18">
        <v>30</v>
      </c>
      <c r="C191" s="27" t="s">
        <v>37</v>
      </c>
      <c r="E191" s="18">
        <v>30</v>
      </c>
      <c r="I191" s="18">
        <v>30</v>
      </c>
      <c r="M191" s="18">
        <v>30</v>
      </c>
      <c r="O191" s="30" t="s">
        <v>53</v>
      </c>
      <c r="AA191" s="18">
        <v>30</v>
      </c>
      <c r="AC191" s="24" t="s">
        <v>37</v>
      </c>
      <c r="AE191" s="18">
        <v>30</v>
      </c>
      <c r="AI191" s="18">
        <v>30</v>
      </c>
    </row>
    <row r="192" spans="1:35" x14ac:dyDescent="0.25">
      <c r="A192" s="18">
        <v>10</v>
      </c>
      <c r="C192" s="27" t="s">
        <v>36</v>
      </c>
      <c r="E192" s="18">
        <v>10</v>
      </c>
      <c r="I192" s="18">
        <v>10</v>
      </c>
      <c r="M192" s="18">
        <v>10</v>
      </c>
      <c r="O192" s="30" t="s">
        <v>37</v>
      </c>
      <c r="AA192" s="18">
        <v>10</v>
      </c>
      <c r="AC192" s="24" t="s">
        <v>36</v>
      </c>
      <c r="AE192" s="18">
        <v>10</v>
      </c>
      <c r="AI192" s="18">
        <v>10</v>
      </c>
    </row>
    <row r="193" spans="1:35" x14ac:dyDescent="0.25">
      <c r="A193" s="18">
        <v>10</v>
      </c>
      <c r="C193" s="27" t="s">
        <v>167</v>
      </c>
      <c r="E193" s="18">
        <v>10</v>
      </c>
      <c r="I193" s="18">
        <v>10</v>
      </c>
      <c r="M193" s="18">
        <v>10</v>
      </c>
      <c r="O193" s="30" t="s">
        <v>36</v>
      </c>
      <c r="AA193" s="18">
        <v>10</v>
      </c>
      <c r="AC193" s="24" t="s">
        <v>167</v>
      </c>
      <c r="AE193" s="18">
        <v>10</v>
      </c>
      <c r="AI193" s="18">
        <v>10</v>
      </c>
    </row>
    <row r="197" spans="1:35" x14ac:dyDescent="0.25">
      <c r="B197" s="20" t="s">
        <v>149</v>
      </c>
      <c r="N197" s="30" t="s">
        <v>201</v>
      </c>
      <c r="R197" s="23" t="s">
        <v>206</v>
      </c>
      <c r="V197" s="23" t="s">
        <v>205</v>
      </c>
      <c r="AB197" s="20" t="s">
        <v>149</v>
      </c>
    </row>
    <row r="198" spans="1:35" x14ac:dyDescent="0.25">
      <c r="A198" s="18">
        <v>50</v>
      </c>
      <c r="C198" s="27" t="s">
        <v>51</v>
      </c>
      <c r="E198" s="18">
        <v>50</v>
      </c>
      <c r="G198" s="26" t="s">
        <v>48</v>
      </c>
      <c r="I198" s="18">
        <v>50</v>
      </c>
      <c r="K198" s="26" t="s">
        <v>59</v>
      </c>
      <c r="M198" s="18">
        <v>50</v>
      </c>
      <c r="O198" s="30" t="s">
        <v>49</v>
      </c>
      <c r="Q198" s="18">
        <v>70</v>
      </c>
      <c r="S198" s="26" t="s">
        <v>48</v>
      </c>
      <c r="U198" s="18">
        <v>70</v>
      </c>
      <c r="W198" s="26" t="s">
        <v>59</v>
      </c>
      <c r="AA198" s="18">
        <v>50</v>
      </c>
      <c r="AC198" s="24" t="s">
        <v>51</v>
      </c>
      <c r="AE198" s="18">
        <v>50</v>
      </c>
      <c r="AI198" s="18">
        <v>50</v>
      </c>
    </row>
    <row r="199" spans="1:35" x14ac:dyDescent="0.25">
      <c r="A199" s="18">
        <v>30</v>
      </c>
      <c r="C199" s="27" t="s">
        <v>51</v>
      </c>
      <c r="E199" s="18">
        <v>30</v>
      </c>
      <c r="I199" s="18">
        <v>30</v>
      </c>
      <c r="M199" s="18">
        <v>30</v>
      </c>
      <c r="O199" s="30" t="s">
        <v>51</v>
      </c>
      <c r="Q199" s="18">
        <v>10</v>
      </c>
      <c r="S199" s="23" t="s">
        <v>51</v>
      </c>
      <c r="U199" s="18">
        <v>10</v>
      </c>
      <c r="W199" s="23" t="s">
        <v>51</v>
      </c>
      <c r="AA199" s="18">
        <v>30</v>
      </c>
      <c r="AC199" s="24" t="s">
        <v>51</v>
      </c>
      <c r="AE199" s="18">
        <v>30</v>
      </c>
      <c r="AI199" s="18">
        <v>30</v>
      </c>
    </row>
    <row r="200" spans="1:35" x14ac:dyDescent="0.25">
      <c r="A200" s="18">
        <v>10</v>
      </c>
      <c r="C200" s="27" t="s">
        <v>166</v>
      </c>
      <c r="E200" s="18">
        <v>10</v>
      </c>
      <c r="I200" s="18">
        <v>10</v>
      </c>
      <c r="M200" s="18">
        <v>10</v>
      </c>
      <c r="O200" s="30" t="s">
        <v>48</v>
      </c>
      <c r="Q200" s="18">
        <v>10</v>
      </c>
      <c r="S200" s="23" t="s">
        <v>28</v>
      </c>
      <c r="U200" s="18">
        <v>10</v>
      </c>
      <c r="W200" s="23" t="s">
        <v>26</v>
      </c>
      <c r="AA200" s="18">
        <v>10</v>
      </c>
      <c r="AC200" s="24" t="s">
        <v>166</v>
      </c>
      <c r="AE200" s="18">
        <v>10</v>
      </c>
      <c r="AI200" s="18">
        <v>10</v>
      </c>
    </row>
    <row r="201" spans="1:35" x14ac:dyDescent="0.25">
      <c r="A201" s="18">
        <v>10</v>
      </c>
      <c r="C201" s="27" t="s">
        <v>167</v>
      </c>
      <c r="E201" s="18">
        <v>10</v>
      </c>
      <c r="I201" s="18">
        <v>10</v>
      </c>
      <c r="M201" s="18">
        <v>10</v>
      </c>
      <c r="O201" s="30" t="s">
        <v>189</v>
      </c>
      <c r="Q201" s="18">
        <v>10</v>
      </c>
      <c r="S201" s="23" t="s">
        <v>49</v>
      </c>
      <c r="U201" s="18">
        <v>10</v>
      </c>
      <c r="W201" s="23" t="s">
        <v>27</v>
      </c>
      <c r="AA201" s="18">
        <v>10</v>
      </c>
      <c r="AC201" s="24" t="s">
        <v>167</v>
      </c>
      <c r="AE201" s="18">
        <v>10</v>
      </c>
      <c r="AI201" s="18">
        <v>10</v>
      </c>
    </row>
    <row r="205" spans="1:35" x14ac:dyDescent="0.25">
      <c r="B205" s="20" t="s">
        <v>150</v>
      </c>
      <c r="N205" s="30" t="s">
        <v>201</v>
      </c>
      <c r="AB205" s="20" t="s">
        <v>150</v>
      </c>
    </row>
    <row r="206" spans="1:35" x14ac:dyDescent="0.25">
      <c r="A206" s="18">
        <v>50</v>
      </c>
      <c r="C206" s="27" t="s">
        <v>51</v>
      </c>
      <c r="E206" s="18">
        <v>50</v>
      </c>
      <c r="I206" s="18">
        <v>50</v>
      </c>
      <c r="M206" s="18">
        <v>50</v>
      </c>
      <c r="O206" s="30" t="s">
        <v>49</v>
      </c>
      <c r="AA206" s="18">
        <v>50</v>
      </c>
      <c r="AC206" s="24" t="s">
        <v>51</v>
      </c>
      <c r="AE206" s="18">
        <v>50</v>
      </c>
      <c r="AI206" s="18">
        <v>50</v>
      </c>
    </row>
    <row r="207" spans="1:35" x14ac:dyDescent="0.25">
      <c r="A207" s="18">
        <v>30</v>
      </c>
      <c r="C207" s="27" t="s">
        <v>51</v>
      </c>
      <c r="E207" s="18">
        <v>30</v>
      </c>
      <c r="I207" s="18">
        <v>30</v>
      </c>
      <c r="M207" s="18">
        <v>30</v>
      </c>
      <c r="O207" s="30" t="s">
        <v>51</v>
      </c>
      <c r="AA207" s="18">
        <v>30</v>
      </c>
      <c r="AC207" s="24" t="s">
        <v>51</v>
      </c>
      <c r="AE207" s="18">
        <v>30</v>
      </c>
      <c r="AI207" s="18">
        <v>30</v>
      </c>
    </row>
    <row r="208" spans="1:35" x14ac:dyDescent="0.25">
      <c r="A208" s="18">
        <v>10</v>
      </c>
      <c r="C208" s="27" t="s">
        <v>166</v>
      </c>
      <c r="E208" s="18">
        <v>10</v>
      </c>
      <c r="I208" s="18">
        <v>10</v>
      </c>
      <c r="M208" s="18">
        <v>10</v>
      </c>
      <c r="O208" s="30" t="s">
        <v>48</v>
      </c>
      <c r="AA208" s="18">
        <v>10</v>
      </c>
      <c r="AC208" s="24" t="s">
        <v>166</v>
      </c>
      <c r="AE208" s="18">
        <v>10</v>
      </c>
      <c r="AI208" s="18">
        <v>10</v>
      </c>
    </row>
    <row r="209" spans="1:35" x14ac:dyDescent="0.25">
      <c r="A209" s="18">
        <v>10</v>
      </c>
      <c r="C209" s="27" t="s">
        <v>167</v>
      </c>
      <c r="E209" s="18">
        <v>10</v>
      </c>
      <c r="I209" s="18">
        <v>10</v>
      </c>
      <c r="M209" s="18">
        <v>10</v>
      </c>
      <c r="O209" s="30" t="s">
        <v>189</v>
      </c>
      <c r="AA209" s="18">
        <v>10</v>
      </c>
      <c r="AC209" s="24" t="s">
        <v>167</v>
      </c>
      <c r="AE209" s="18">
        <v>10</v>
      </c>
      <c r="AI209" s="18">
        <v>10</v>
      </c>
    </row>
    <row r="213" spans="1:35" x14ac:dyDescent="0.25">
      <c r="B213" s="20" t="s">
        <v>151</v>
      </c>
      <c r="O213" s="30" t="s">
        <v>194</v>
      </c>
      <c r="AB213" s="20" t="s">
        <v>151</v>
      </c>
    </row>
    <row r="214" spans="1:35" x14ac:dyDescent="0.25">
      <c r="A214" s="18">
        <v>50</v>
      </c>
      <c r="C214" s="27" t="s">
        <v>51</v>
      </c>
      <c r="E214" s="18">
        <v>50</v>
      </c>
      <c r="I214" s="18">
        <v>50</v>
      </c>
      <c r="M214" s="18">
        <v>50</v>
      </c>
      <c r="O214" s="30" t="s">
        <v>26</v>
      </c>
      <c r="AA214" s="18">
        <v>50</v>
      </c>
      <c r="AC214" s="24" t="s">
        <v>51</v>
      </c>
      <c r="AE214" s="18">
        <v>50</v>
      </c>
      <c r="AI214" s="18">
        <v>50</v>
      </c>
    </row>
    <row r="215" spans="1:35" x14ac:dyDescent="0.25">
      <c r="A215" s="18">
        <v>30</v>
      </c>
      <c r="C215" s="27" t="s">
        <v>49</v>
      </c>
      <c r="E215" s="18">
        <v>30</v>
      </c>
      <c r="I215" s="18">
        <v>30</v>
      </c>
      <c r="M215" s="18">
        <v>30</v>
      </c>
      <c r="O215" s="30" t="s">
        <v>49</v>
      </c>
      <c r="AA215" s="18">
        <v>30</v>
      </c>
      <c r="AC215" s="24" t="s">
        <v>49</v>
      </c>
      <c r="AE215" s="18">
        <v>30</v>
      </c>
      <c r="AI215" s="18">
        <v>30</v>
      </c>
    </row>
    <row r="216" spans="1:35" x14ac:dyDescent="0.25">
      <c r="A216" s="18">
        <v>10</v>
      </c>
      <c r="C216" s="27" t="s">
        <v>166</v>
      </c>
      <c r="E216" s="18">
        <v>10</v>
      </c>
      <c r="I216" s="18">
        <v>10</v>
      </c>
      <c r="M216" s="18">
        <v>10</v>
      </c>
      <c r="O216" s="30" t="s">
        <v>191</v>
      </c>
      <c r="AA216" s="18">
        <v>10</v>
      </c>
      <c r="AC216" s="24" t="s">
        <v>166</v>
      </c>
      <c r="AE216" s="18">
        <v>10</v>
      </c>
      <c r="AI216" s="18">
        <v>10</v>
      </c>
    </row>
    <row r="217" spans="1:35" x14ac:dyDescent="0.25">
      <c r="A217" s="18">
        <v>10</v>
      </c>
      <c r="C217" s="27" t="s">
        <v>167</v>
      </c>
      <c r="E217" s="18">
        <v>10</v>
      </c>
      <c r="I217" s="18">
        <v>10</v>
      </c>
      <c r="M217" s="18">
        <v>10</v>
      </c>
      <c r="O217" s="30" t="s">
        <v>168</v>
      </c>
      <c r="AA217" s="18">
        <v>10</v>
      </c>
      <c r="AC217" s="24" t="s">
        <v>167</v>
      </c>
      <c r="AE217" s="18">
        <v>10</v>
      </c>
      <c r="AI217" s="18">
        <v>10</v>
      </c>
    </row>
    <row r="221" spans="1:35" x14ac:dyDescent="0.25">
      <c r="B221" s="20" t="s">
        <v>153</v>
      </c>
      <c r="O221" s="30" t="s">
        <v>194</v>
      </c>
      <c r="AB221" s="20" t="s">
        <v>152</v>
      </c>
    </row>
    <row r="222" spans="1:35" x14ac:dyDescent="0.25">
      <c r="A222" s="18">
        <v>50</v>
      </c>
      <c r="C222" s="27" t="s">
        <v>49</v>
      </c>
      <c r="E222" s="18">
        <v>50</v>
      </c>
      <c r="I222" s="18">
        <v>50</v>
      </c>
      <c r="M222" s="18">
        <v>50</v>
      </c>
      <c r="O222" s="30" t="s">
        <v>26</v>
      </c>
      <c r="AA222" s="18">
        <v>50</v>
      </c>
      <c r="AC222" s="24" t="s">
        <v>51</v>
      </c>
      <c r="AE222" s="18">
        <v>50</v>
      </c>
      <c r="AI222" s="18">
        <v>50</v>
      </c>
    </row>
    <row r="223" spans="1:35" x14ac:dyDescent="0.25">
      <c r="A223" s="18">
        <v>30</v>
      </c>
      <c r="C223" s="27" t="s">
        <v>49</v>
      </c>
      <c r="E223" s="18">
        <v>30</v>
      </c>
      <c r="I223" s="18">
        <v>30</v>
      </c>
      <c r="M223" s="18">
        <v>30</v>
      </c>
      <c r="O223" s="30" t="s">
        <v>49</v>
      </c>
      <c r="AA223" s="18">
        <v>30</v>
      </c>
      <c r="AC223" s="24" t="s">
        <v>49</v>
      </c>
      <c r="AE223" s="18">
        <v>30</v>
      </c>
      <c r="AI223" s="18">
        <v>30</v>
      </c>
    </row>
    <row r="224" spans="1:35" x14ac:dyDescent="0.25">
      <c r="A224" s="18">
        <v>10</v>
      </c>
      <c r="C224" s="27" t="s">
        <v>166</v>
      </c>
      <c r="E224" s="18">
        <v>10</v>
      </c>
      <c r="I224" s="18">
        <v>10</v>
      </c>
      <c r="M224" s="18">
        <v>10</v>
      </c>
      <c r="O224" s="30" t="s">
        <v>191</v>
      </c>
      <c r="AA224" s="18">
        <v>10</v>
      </c>
      <c r="AC224" s="24" t="s">
        <v>166</v>
      </c>
      <c r="AE224" s="18">
        <v>10</v>
      </c>
      <c r="AI224" s="18">
        <v>10</v>
      </c>
    </row>
    <row r="225" spans="1:35" x14ac:dyDescent="0.25">
      <c r="A225" s="18">
        <v>10</v>
      </c>
      <c r="C225" s="27" t="s">
        <v>167</v>
      </c>
      <c r="E225" s="18">
        <v>10</v>
      </c>
      <c r="I225" s="18">
        <v>10</v>
      </c>
      <c r="M225" s="18">
        <v>10</v>
      </c>
      <c r="O225" s="30" t="s">
        <v>168</v>
      </c>
      <c r="AA225" s="18">
        <v>10</v>
      </c>
      <c r="AC225" s="24" t="s">
        <v>167</v>
      </c>
      <c r="AE225" s="18">
        <v>10</v>
      </c>
      <c r="AI225" s="18">
        <v>10</v>
      </c>
    </row>
    <row r="229" spans="1:35" x14ac:dyDescent="0.25">
      <c r="B229" s="20" t="s">
        <v>155</v>
      </c>
      <c r="O229" s="30" t="s">
        <v>194</v>
      </c>
      <c r="AB229" s="20" t="s">
        <v>153</v>
      </c>
    </row>
    <row r="230" spans="1:35" x14ac:dyDescent="0.25">
      <c r="A230" s="18">
        <v>50</v>
      </c>
      <c r="C230" s="27" t="s">
        <v>49</v>
      </c>
      <c r="E230" s="18">
        <v>50</v>
      </c>
      <c r="I230" s="18">
        <v>50</v>
      </c>
      <c r="M230" s="18">
        <v>50</v>
      </c>
      <c r="O230" s="30" t="s">
        <v>26</v>
      </c>
      <c r="AA230" s="18">
        <v>50</v>
      </c>
      <c r="AC230" s="24" t="s">
        <v>49</v>
      </c>
      <c r="AE230" s="18">
        <v>50</v>
      </c>
      <c r="AI230" s="18">
        <v>50</v>
      </c>
    </row>
    <row r="231" spans="1:35" x14ac:dyDescent="0.25">
      <c r="A231" s="18">
        <v>30</v>
      </c>
      <c r="C231" s="27" t="s">
        <v>166</v>
      </c>
      <c r="E231" s="18">
        <v>30</v>
      </c>
      <c r="I231" s="18">
        <v>30</v>
      </c>
      <c r="M231" s="18">
        <v>30</v>
      </c>
      <c r="O231" s="30" t="s">
        <v>49</v>
      </c>
      <c r="AA231" s="18">
        <v>30</v>
      </c>
      <c r="AC231" s="24" t="s">
        <v>49</v>
      </c>
      <c r="AE231" s="18">
        <v>30</v>
      </c>
      <c r="AI231" s="18">
        <v>30</v>
      </c>
    </row>
    <row r="232" spans="1:35" x14ac:dyDescent="0.25">
      <c r="A232" s="18">
        <v>10</v>
      </c>
      <c r="C232" s="27" t="s">
        <v>168</v>
      </c>
      <c r="E232" s="18">
        <v>10</v>
      </c>
      <c r="I232" s="18">
        <v>10</v>
      </c>
      <c r="M232" s="18">
        <v>10</v>
      </c>
      <c r="O232" s="30" t="s">
        <v>191</v>
      </c>
      <c r="AA232" s="18">
        <v>10</v>
      </c>
      <c r="AC232" s="24" t="s">
        <v>166</v>
      </c>
      <c r="AE232" s="18">
        <v>10</v>
      </c>
      <c r="AI232" s="18">
        <v>10</v>
      </c>
    </row>
    <row r="233" spans="1:35" x14ac:dyDescent="0.25">
      <c r="A233" s="18">
        <v>10</v>
      </c>
      <c r="C233" s="27" t="s">
        <v>167</v>
      </c>
      <c r="E233" s="18">
        <v>10</v>
      </c>
      <c r="I233" s="18">
        <v>10</v>
      </c>
      <c r="M233" s="18">
        <v>10</v>
      </c>
      <c r="O233" s="30" t="s">
        <v>168</v>
      </c>
      <c r="AA233" s="18">
        <v>10</v>
      </c>
      <c r="AC233" s="24" t="s">
        <v>167</v>
      </c>
      <c r="AE233" s="18">
        <v>10</v>
      </c>
      <c r="AI233" s="18">
        <v>10</v>
      </c>
    </row>
    <row r="237" spans="1:35" x14ac:dyDescent="0.25">
      <c r="B237" s="20" t="s">
        <v>156</v>
      </c>
      <c r="O237" s="30" t="s">
        <v>50</v>
      </c>
      <c r="AB237" s="20" t="s">
        <v>154</v>
      </c>
    </row>
    <row r="238" spans="1:35" x14ac:dyDescent="0.25">
      <c r="A238" s="18">
        <v>50</v>
      </c>
      <c r="C238" s="27" t="s">
        <v>51</v>
      </c>
      <c r="E238" s="18">
        <v>50</v>
      </c>
      <c r="I238" s="18">
        <v>50</v>
      </c>
      <c r="M238" s="18">
        <v>50</v>
      </c>
      <c r="O238" s="30" t="s">
        <v>26</v>
      </c>
      <c r="AA238" s="18">
        <v>50</v>
      </c>
      <c r="AC238" s="24" t="s">
        <v>49</v>
      </c>
      <c r="AE238" s="18">
        <v>50</v>
      </c>
      <c r="AI238" s="18">
        <v>50</v>
      </c>
    </row>
    <row r="239" spans="1:35" x14ac:dyDescent="0.25">
      <c r="A239" s="18">
        <v>30</v>
      </c>
      <c r="C239" s="27" t="s">
        <v>51</v>
      </c>
      <c r="E239" s="18">
        <v>30</v>
      </c>
      <c r="I239" s="18">
        <v>30</v>
      </c>
      <c r="M239" s="18">
        <v>30</v>
      </c>
      <c r="O239" s="30" t="s">
        <v>51</v>
      </c>
      <c r="AA239" s="18">
        <v>30</v>
      </c>
      <c r="AC239" s="24" t="s">
        <v>49</v>
      </c>
      <c r="AE239" s="18">
        <v>30</v>
      </c>
      <c r="AI239" s="18">
        <v>30</v>
      </c>
    </row>
    <row r="240" spans="1:35" x14ac:dyDescent="0.25">
      <c r="A240" s="18">
        <v>10</v>
      </c>
      <c r="C240" s="27" t="s">
        <v>166</v>
      </c>
      <c r="E240" s="18">
        <v>10</v>
      </c>
      <c r="I240" s="18">
        <v>10</v>
      </c>
      <c r="M240" s="18">
        <v>10</v>
      </c>
      <c r="O240" s="30" t="s">
        <v>27</v>
      </c>
      <c r="AA240" s="18">
        <v>10</v>
      </c>
      <c r="AC240" s="24" t="s">
        <v>166</v>
      </c>
      <c r="AE240" s="18">
        <v>10</v>
      </c>
      <c r="AI240" s="18">
        <v>10</v>
      </c>
    </row>
    <row r="241" spans="1:35" x14ac:dyDescent="0.25">
      <c r="A241" s="18">
        <v>10</v>
      </c>
      <c r="C241" s="27" t="s">
        <v>167</v>
      </c>
      <c r="E241" s="18">
        <v>10</v>
      </c>
      <c r="I241" s="18">
        <v>10</v>
      </c>
      <c r="M241" s="18">
        <v>10</v>
      </c>
      <c r="O241" s="30" t="s">
        <v>189</v>
      </c>
      <c r="AA241" s="18">
        <v>10</v>
      </c>
      <c r="AC241" s="24" t="s">
        <v>167</v>
      </c>
      <c r="AE241" s="18">
        <v>10</v>
      </c>
      <c r="AI241" s="18">
        <v>10</v>
      </c>
    </row>
    <row r="245" spans="1:35" x14ac:dyDescent="0.25">
      <c r="B245" s="20" t="s">
        <v>157</v>
      </c>
      <c r="O245" s="30" t="s">
        <v>44</v>
      </c>
      <c r="AB245" s="20" t="s">
        <v>155</v>
      </c>
    </row>
    <row r="246" spans="1:35" x14ac:dyDescent="0.25">
      <c r="A246" s="18">
        <v>50</v>
      </c>
      <c r="C246" s="27" t="s">
        <v>45</v>
      </c>
      <c r="E246" s="18">
        <v>50</v>
      </c>
      <c r="O246" s="30" t="s">
        <v>45</v>
      </c>
      <c r="AA246" s="18">
        <v>50</v>
      </c>
      <c r="AC246" s="24" t="s">
        <v>49</v>
      </c>
    </row>
    <row r="247" spans="1:35" x14ac:dyDescent="0.25">
      <c r="A247" s="18">
        <v>30</v>
      </c>
      <c r="C247" s="27" t="s">
        <v>40</v>
      </c>
      <c r="E247" s="18">
        <v>30</v>
      </c>
      <c r="I247" s="18">
        <v>50</v>
      </c>
      <c r="M247" s="18">
        <v>50</v>
      </c>
      <c r="O247" s="30" t="s">
        <v>53</v>
      </c>
      <c r="AA247" s="18">
        <v>30</v>
      </c>
      <c r="AC247" s="24" t="s">
        <v>166</v>
      </c>
      <c r="AE247" s="18">
        <v>50</v>
      </c>
      <c r="AI247" s="18">
        <v>50</v>
      </c>
    </row>
    <row r="248" spans="1:35" x14ac:dyDescent="0.25">
      <c r="A248" s="18">
        <v>10</v>
      </c>
      <c r="C248" s="27" t="s">
        <v>46</v>
      </c>
      <c r="E248" s="18">
        <v>10</v>
      </c>
      <c r="I248" s="18">
        <v>30</v>
      </c>
      <c r="M248" s="18">
        <v>30</v>
      </c>
      <c r="O248" s="30" t="s">
        <v>45</v>
      </c>
      <c r="AA248" s="18">
        <v>10</v>
      </c>
      <c r="AC248" s="24" t="s">
        <v>168</v>
      </c>
      <c r="AE248" s="18">
        <v>30</v>
      </c>
      <c r="AI248" s="18">
        <v>30</v>
      </c>
    </row>
    <row r="249" spans="1:35" x14ac:dyDescent="0.25">
      <c r="A249" s="18">
        <v>10</v>
      </c>
      <c r="C249" s="27" t="s">
        <v>167</v>
      </c>
      <c r="E249" s="18">
        <v>10</v>
      </c>
      <c r="I249" s="18">
        <v>10</v>
      </c>
      <c r="M249" s="18">
        <v>10</v>
      </c>
      <c r="O249" s="30" t="s">
        <v>46</v>
      </c>
      <c r="AA249" s="18">
        <v>10</v>
      </c>
      <c r="AC249" s="24" t="s">
        <v>167</v>
      </c>
      <c r="AE249" s="18">
        <v>10</v>
      </c>
      <c r="AI249" s="18">
        <v>10</v>
      </c>
    </row>
    <row r="250" spans="1:35" x14ac:dyDescent="0.25">
      <c r="I250" s="18">
        <v>10</v>
      </c>
      <c r="M250" s="18">
        <v>10</v>
      </c>
      <c r="AE250" s="18">
        <v>10</v>
      </c>
      <c r="AI250" s="18">
        <v>10</v>
      </c>
    </row>
    <row r="253" spans="1:35" x14ac:dyDescent="0.25">
      <c r="B253" s="20" t="s">
        <v>158</v>
      </c>
      <c r="O253" s="30" t="s">
        <v>44</v>
      </c>
      <c r="AB253" s="20" t="s">
        <v>156</v>
      </c>
    </row>
    <row r="254" spans="1:35" x14ac:dyDescent="0.25">
      <c r="A254" s="18">
        <v>50</v>
      </c>
      <c r="C254" s="27" t="s">
        <v>45</v>
      </c>
      <c r="E254" s="18">
        <v>50</v>
      </c>
      <c r="O254" s="30" t="s">
        <v>45</v>
      </c>
      <c r="AA254" s="18">
        <v>50</v>
      </c>
      <c r="AC254" s="24" t="s">
        <v>51</v>
      </c>
    </row>
    <row r="255" spans="1:35" x14ac:dyDescent="0.25">
      <c r="A255" s="18">
        <v>30</v>
      </c>
      <c r="C255" s="27" t="s">
        <v>40</v>
      </c>
      <c r="E255" s="18">
        <v>30</v>
      </c>
      <c r="I255" s="18">
        <v>50</v>
      </c>
      <c r="M255" s="18">
        <v>50</v>
      </c>
      <c r="O255" s="30" t="s">
        <v>53</v>
      </c>
      <c r="AA255" s="18">
        <v>30</v>
      </c>
      <c r="AC255" s="24" t="s">
        <v>51</v>
      </c>
      <c r="AE255" s="18">
        <v>50</v>
      </c>
      <c r="AI255" s="18">
        <v>50</v>
      </c>
    </row>
    <row r="256" spans="1:35" x14ac:dyDescent="0.25">
      <c r="A256" s="18">
        <v>10</v>
      </c>
      <c r="C256" s="27" t="s">
        <v>46</v>
      </c>
      <c r="E256" s="18">
        <v>10</v>
      </c>
      <c r="I256" s="18">
        <v>30</v>
      </c>
      <c r="M256" s="18">
        <v>30</v>
      </c>
      <c r="O256" s="30" t="s">
        <v>45</v>
      </c>
      <c r="AA256" s="18">
        <v>10</v>
      </c>
      <c r="AC256" s="24" t="s">
        <v>166</v>
      </c>
      <c r="AE256" s="18">
        <v>30</v>
      </c>
      <c r="AI256" s="18">
        <v>30</v>
      </c>
    </row>
    <row r="257" spans="1:35" x14ac:dyDescent="0.25">
      <c r="A257" s="18">
        <v>10</v>
      </c>
      <c r="C257" s="27" t="s">
        <v>167</v>
      </c>
      <c r="E257" s="18">
        <v>10</v>
      </c>
      <c r="I257" s="18">
        <v>10</v>
      </c>
      <c r="M257" s="18">
        <v>10</v>
      </c>
      <c r="O257" s="30" t="s">
        <v>46</v>
      </c>
      <c r="AA257" s="18">
        <v>10</v>
      </c>
      <c r="AC257" s="24" t="s">
        <v>167</v>
      </c>
      <c r="AE257" s="18">
        <v>10</v>
      </c>
      <c r="AI257" s="18">
        <v>10</v>
      </c>
    </row>
    <row r="258" spans="1:35" x14ac:dyDescent="0.25">
      <c r="I258" s="18">
        <v>10</v>
      </c>
      <c r="M258" s="18">
        <v>10</v>
      </c>
      <c r="AE258" s="18">
        <v>10</v>
      </c>
      <c r="AI258" s="18">
        <v>10</v>
      </c>
    </row>
    <row r="261" spans="1:35" x14ac:dyDescent="0.25">
      <c r="B261" s="20" t="s">
        <v>159</v>
      </c>
      <c r="O261" s="30" t="s">
        <v>44</v>
      </c>
      <c r="AB261" s="20" t="s">
        <v>157</v>
      </c>
    </row>
    <row r="262" spans="1:35" x14ac:dyDescent="0.25">
      <c r="C262" s="27" t="s">
        <v>45</v>
      </c>
      <c r="O262" s="30" t="s">
        <v>45</v>
      </c>
      <c r="AA262" s="18">
        <v>50</v>
      </c>
      <c r="AC262" s="24" t="s">
        <v>45</v>
      </c>
    </row>
    <row r="263" spans="1:35" x14ac:dyDescent="0.25">
      <c r="C263" s="27" t="s">
        <v>40</v>
      </c>
      <c r="I263" s="18">
        <v>50</v>
      </c>
      <c r="M263" s="18">
        <v>50</v>
      </c>
      <c r="O263" s="30" t="s">
        <v>53</v>
      </c>
      <c r="AA263" s="18">
        <v>30</v>
      </c>
      <c r="AC263" s="24" t="s">
        <v>40</v>
      </c>
      <c r="AE263" s="18">
        <v>50</v>
      </c>
      <c r="AI263" s="18">
        <v>50</v>
      </c>
    </row>
    <row r="264" spans="1:35" x14ac:dyDescent="0.25">
      <c r="C264" s="27" t="s">
        <v>46</v>
      </c>
      <c r="I264" s="18">
        <v>30</v>
      </c>
      <c r="M264" s="18">
        <v>30</v>
      </c>
      <c r="O264" s="30" t="s">
        <v>45</v>
      </c>
      <c r="AA264" s="18">
        <v>10</v>
      </c>
      <c r="AC264" s="24" t="s">
        <v>46</v>
      </c>
      <c r="AE264" s="18">
        <v>30</v>
      </c>
      <c r="AI264" s="18">
        <v>30</v>
      </c>
    </row>
    <row r="265" spans="1:35" x14ac:dyDescent="0.25">
      <c r="C265" s="27" t="s">
        <v>167</v>
      </c>
      <c r="I265" s="18">
        <v>10</v>
      </c>
      <c r="M265" s="18">
        <v>10</v>
      </c>
      <c r="O265" s="30" t="s">
        <v>46</v>
      </c>
      <c r="AA265" s="18">
        <v>10</v>
      </c>
      <c r="AC265" s="24" t="s">
        <v>167</v>
      </c>
      <c r="AE265" s="18">
        <v>10</v>
      </c>
      <c r="AI265" s="18">
        <v>10</v>
      </c>
    </row>
    <row r="266" spans="1:35" x14ac:dyDescent="0.25">
      <c r="I266" s="18">
        <v>10</v>
      </c>
      <c r="M266" s="18">
        <v>10</v>
      </c>
      <c r="AE266" s="18">
        <v>10</v>
      </c>
      <c r="AI266" s="18">
        <v>10</v>
      </c>
    </row>
    <row r="269" spans="1:35" x14ac:dyDescent="0.25">
      <c r="B269" s="20" t="s">
        <v>160</v>
      </c>
      <c r="N269" s="30" t="s">
        <v>58</v>
      </c>
      <c r="AB269" s="20" t="s">
        <v>158</v>
      </c>
    </row>
    <row r="270" spans="1:35" x14ac:dyDescent="0.25">
      <c r="C270" s="27" t="s">
        <v>53</v>
      </c>
      <c r="G270" s="26" t="s">
        <v>53</v>
      </c>
      <c r="K270" s="21" t="s">
        <v>199</v>
      </c>
      <c r="O270" s="30" t="s">
        <v>53</v>
      </c>
      <c r="AA270" s="18">
        <v>50</v>
      </c>
      <c r="AC270" s="24" t="s">
        <v>45</v>
      </c>
    </row>
    <row r="271" spans="1:35" x14ac:dyDescent="0.25">
      <c r="C271" s="27" t="s">
        <v>53</v>
      </c>
      <c r="I271" s="18">
        <v>50</v>
      </c>
      <c r="M271" s="18">
        <v>50</v>
      </c>
      <c r="O271" s="30" t="s">
        <v>53</v>
      </c>
      <c r="AA271" s="18">
        <v>30</v>
      </c>
      <c r="AC271" s="24" t="s">
        <v>40</v>
      </c>
      <c r="AE271" s="18">
        <v>50</v>
      </c>
      <c r="AI271" s="18">
        <v>50</v>
      </c>
    </row>
    <row r="272" spans="1:35" x14ac:dyDescent="0.25">
      <c r="C272" s="27" t="s">
        <v>56</v>
      </c>
      <c r="I272" s="18">
        <v>30</v>
      </c>
      <c r="M272" s="18">
        <v>30</v>
      </c>
      <c r="O272" s="30" t="s">
        <v>53</v>
      </c>
      <c r="AA272" s="18">
        <v>10</v>
      </c>
      <c r="AC272" s="24" t="s">
        <v>46</v>
      </c>
      <c r="AE272" s="18">
        <v>30</v>
      </c>
      <c r="AI272" s="18">
        <v>30</v>
      </c>
    </row>
    <row r="273" spans="2:35" x14ac:dyDescent="0.25">
      <c r="C273" s="27" t="s">
        <v>167</v>
      </c>
      <c r="I273" s="18">
        <v>10</v>
      </c>
      <c r="M273" s="18">
        <v>10</v>
      </c>
      <c r="O273" s="30" t="s">
        <v>56</v>
      </c>
      <c r="AA273" s="18">
        <v>10</v>
      </c>
      <c r="AC273" s="24" t="s">
        <v>167</v>
      </c>
      <c r="AE273" s="18">
        <v>10</v>
      </c>
      <c r="AI273" s="18">
        <v>10</v>
      </c>
    </row>
    <row r="274" spans="2:35" x14ac:dyDescent="0.25">
      <c r="I274" s="18">
        <v>10</v>
      </c>
      <c r="M274" s="18">
        <v>10</v>
      </c>
      <c r="AE274" s="18">
        <v>10</v>
      </c>
      <c r="AI274" s="18">
        <v>10</v>
      </c>
    </row>
    <row r="277" spans="2:35" x14ac:dyDescent="0.25">
      <c r="B277" s="20" t="s">
        <v>161</v>
      </c>
      <c r="O277" s="30" t="s">
        <v>58</v>
      </c>
      <c r="AB277" s="20" t="s">
        <v>159</v>
      </c>
    </row>
    <row r="278" spans="2:35" x14ac:dyDescent="0.25">
      <c r="C278" s="27" t="s">
        <v>53</v>
      </c>
      <c r="O278" s="30" t="s">
        <v>53</v>
      </c>
      <c r="AC278" s="24" t="s">
        <v>45</v>
      </c>
    </row>
    <row r="279" spans="2:35" x14ac:dyDescent="0.25">
      <c r="C279" s="27" t="s">
        <v>53</v>
      </c>
      <c r="O279" s="30" t="s">
        <v>53</v>
      </c>
      <c r="AC279" s="24" t="s">
        <v>40</v>
      </c>
    </row>
    <row r="280" spans="2:35" x14ac:dyDescent="0.25">
      <c r="C280" s="27" t="s">
        <v>53</v>
      </c>
      <c r="O280" s="30" t="s">
        <v>53</v>
      </c>
      <c r="AC280" s="24" t="s">
        <v>46</v>
      </c>
    </row>
    <row r="281" spans="2:35" x14ac:dyDescent="0.25">
      <c r="C281" s="27" t="s">
        <v>167</v>
      </c>
      <c r="O281" s="30" t="s">
        <v>56</v>
      </c>
      <c r="AC281" s="24" t="s">
        <v>167</v>
      </c>
    </row>
    <row r="285" spans="2:35" x14ac:dyDescent="0.25">
      <c r="B285" s="20" t="s">
        <v>162</v>
      </c>
      <c r="N285" s="30" t="s">
        <v>195</v>
      </c>
      <c r="R285" s="23" t="s">
        <v>207</v>
      </c>
      <c r="AB285" s="20" t="s">
        <v>160</v>
      </c>
    </row>
    <row r="286" spans="2:35" x14ac:dyDescent="0.25">
      <c r="C286" s="27" t="s">
        <v>53</v>
      </c>
      <c r="G286" s="26" t="s">
        <v>41</v>
      </c>
      <c r="K286" s="21" t="s">
        <v>199</v>
      </c>
      <c r="O286" s="30" t="s">
        <v>53</v>
      </c>
      <c r="Q286" s="18">
        <v>40</v>
      </c>
      <c r="S286" s="26" t="s">
        <v>41</v>
      </c>
      <c r="AC286" s="24" t="s">
        <v>53</v>
      </c>
    </row>
    <row r="287" spans="2:35" x14ac:dyDescent="0.25">
      <c r="C287" s="27" t="s">
        <v>53</v>
      </c>
      <c r="O287" s="30" t="s">
        <v>53</v>
      </c>
      <c r="Q287" s="18">
        <v>30</v>
      </c>
      <c r="S287" s="23" t="s">
        <v>41</v>
      </c>
      <c r="AC287" s="24" t="s">
        <v>53</v>
      </c>
    </row>
    <row r="288" spans="2:35" x14ac:dyDescent="0.25">
      <c r="C288" s="27" t="s">
        <v>41</v>
      </c>
      <c r="O288" s="30" t="s">
        <v>41</v>
      </c>
      <c r="Q288" s="18">
        <v>25</v>
      </c>
      <c r="S288" s="23" t="s">
        <v>53</v>
      </c>
      <c r="AC288" s="24" t="s">
        <v>56</v>
      </c>
    </row>
    <row r="289" spans="2:29" x14ac:dyDescent="0.25">
      <c r="C289" s="27" t="s">
        <v>167</v>
      </c>
      <c r="O289" s="30" t="s">
        <v>57</v>
      </c>
      <c r="Q289" s="18">
        <v>5</v>
      </c>
      <c r="S289" s="23" t="s">
        <v>57</v>
      </c>
      <c r="AC289" s="24" t="s">
        <v>167</v>
      </c>
    </row>
    <row r="293" spans="2:29" x14ac:dyDescent="0.25">
      <c r="B293" s="20" t="s">
        <v>196</v>
      </c>
      <c r="O293" s="30" t="s">
        <v>44</v>
      </c>
      <c r="AB293" s="20" t="s">
        <v>161</v>
      </c>
    </row>
    <row r="294" spans="2:29" x14ac:dyDescent="0.25">
      <c r="C294" s="27" t="s">
        <v>53</v>
      </c>
      <c r="O294" s="30" t="s">
        <v>45</v>
      </c>
      <c r="AC294" s="24" t="s">
        <v>53</v>
      </c>
    </row>
    <row r="295" spans="2:29" x14ac:dyDescent="0.25">
      <c r="C295" s="27" t="s">
        <v>53</v>
      </c>
      <c r="O295" s="30" t="s">
        <v>53</v>
      </c>
      <c r="AC295" s="24" t="s">
        <v>53</v>
      </c>
    </row>
    <row r="296" spans="2:29" x14ac:dyDescent="0.25">
      <c r="C296" s="27" t="s">
        <v>53</v>
      </c>
      <c r="O296" s="30" t="s">
        <v>45</v>
      </c>
      <c r="AC296" s="24" t="s">
        <v>53</v>
      </c>
    </row>
    <row r="297" spans="2:29" x14ac:dyDescent="0.25">
      <c r="C297" s="27" t="s">
        <v>167</v>
      </c>
      <c r="O297" s="30" t="s">
        <v>46</v>
      </c>
      <c r="AC297" s="24" t="s">
        <v>167</v>
      </c>
    </row>
    <row r="301" spans="2:29" x14ac:dyDescent="0.25">
      <c r="B301" s="20" t="s">
        <v>164</v>
      </c>
      <c r="O301" s="30" t="s">
        <v>58</v>
      </c>
      <c r="AB301" s="20" t="s">
        <v>162</v>
      </c>
    </row>
    <row r="302" spans="2:29" x14ac:dyDescent="0.25">
      <c r="C302" s="27" t="s">
        <v>169</v>
      </c>
      <c r="O302" s="30" t="s">
        <v>53</v>
      </c>
      <c r="AC302" s="24" t="s">
        <v>53</v>
      </c>
    </row>
    <row r="303" spans="2:29" x14ac:dyDescent="0.25">
      <c r="C303" s="27" t="s">
        <v>56</v>
      </c>
      <c r="O303" s="30" t="s">
        <v>53</v>
      </c>
      <c r="AC303" s="24" t="s">
        <v>53</v>
      </c>
    </row>
    <row r="304" spans="2:29" x14ac:dyDescent="0.25">
      <c r="C304" s="27" t="s">
        <v>37</v>
      </c>
      <c r="O304" s="30" t="s">
        <v>53</v>
      </c>
      <c r="AC304" s="24" t="s">
        <v>41</v>
      </c>
    </row>
    <row r="305" spans="2:29" x14ac:dyDescent="0.25">
      <c r="C305" s="27" t="s">
        <v>53</v>
      </c>
      <c r="O305" s="30" t="s">
        <v>56</v>
      </c>
      <c r="AC305" s="24" t="s">
        <v>167</v>
      </c>
    </row>
    <row r="309" spans="2:29" x14ac:dyDescent="0.25">
      <c r="B309" s="20" t="s">
        <v>165</v>
      </c>
      <c r="O309" s="30" t="s">
        <v>44</v>
      </c>
      <c r="AB309" s="20" t="s">
        <v>163</v>
      </c>
    </row>
    <row r="310" spans="2:29" x14ac:dyDescent="0.25">
      <c r="C310" s="27" t="s">
        <v>46</v>
      </c>
      <c r="O310" s="30" t="s">
        <v>45</v>
      </c>
      <c r="AC310" s="24" t="s">
        <v>53</v>
      </c>
    </row>
    <row r="311" spans="2:29" x14ac:dyDescent="0.25">
      <c r="C311" s="27" t="s">
        <v>30</v>
      </c>
      <c r="O311" s="30" t="s">
        <v>53</v>
      </c>
      <c r="AC311" s="24" t="s">
        <v>53</v>
      </c>
    </row>
    <row r="312" spans="2:29" x14ac:dyDescent="0.25">
      <c r="C312" s="27" t="s">
        <v>45</v>
      </c>
      <c r="O312" s="30" t="s">
        <v>45</v>
      </c>
      <c r="AC312" s="24" t="s">
        <v>53</v>
      </c>
    </row>
    <row r="313" spans="2:29" x14ac:dyDescent="0.25">
      <c r="C313" s="27" t="s">
        <v>167</v>
      </c>
      <c r="O313" s="30" t="s">
        <v>46</v>
      </c>
      <c r="AC313" s="24" t="s">
        <v>167</v>
      </c>
    </row>
    <row r="317" spans="2:29" x14ac:dyDescent="0.25">
      <c r="AB317" s="20" t="s">
        <v>164</v>
      </c>
    </row>
    <row r="318" spans="2:29" x14ac:dyDescent="0.25">
      <c r="AC318" s="24" t="s">
        <v>169</v>
      </c>
    </row>
    <row r="319" spans="2:29" x14ac:dyDescent="0.25">
      <c r="AC319" s="24" t="s">
        <v>169</v>
      </c>
    </row>
    <row r="320" spans="2:29" x14ac:dyDescent="0.25">
      <c r="AC320" s="24" t="s">
        <v>170</v>
      </c>
    </row>
    <row r="321" spans="28:29" x14ac:dyDescent="0.25">
      <c r="AC321" s="24" t="s">
        <v>171</v>
      </c>
    </row>
    <row r="325" spans="28:29" x14ac:dyDescent="0.25">
      <c r="AB325" s="20" t="s">
        <v>165</v>
      </c>
    </row>
    <row r="326" spans="28:29" x14ac:dyDescent="0.25">
      <c r="AC326" s="24" t="s">
        <v>46</v>
      </c>
    </row>
    <row r="327" spans="28:29" x14ac:dyDescent="0.25">
      <c r="AC327" s="24" t="s">
        <v>30</v>
      </c>
    </row>
    <row r="328" spans="28:29" x14ac:dyDescent="0.25">
      <c r="AC328" s="24" t="s">
        <v>45</v>
      </c>
    </row>
    <row r="329" spans="28:29" x14ac:dyDescent="0.25">
      <c r="AC329" s="24" t="s">
        <v>167</v>
      </c>
    </row>
  </sheetData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P29"/>
  <sheetViews>
    <sheetView workbookViewId="0">
      <selection activeCell="I20" sqref="I20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16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6" ht="20.25" customHeight="1" x14ac:dyDescent="0.25">
      <c r="A15" s="1"/>
      <c r="B15" s="2"/>
      <c r="C15" s="4" t="s">
        <v>62</v>
      </c>
    </row>
    <row r="16" spans="1:16" s="11" customFormat="1" ht="14.25" customHeight="1" x14ac:dyDescent="0.25">
      <c r="A16" s="14">
        <f>SUM(C16:N16)</f>
        <v>0</v>
      </c>
      <c r="B16" s="9"/>
      <c r="C16" s="12"/>
      <c r="D16" s="12"/>
      <c r="E16" s="12"/>
      <c r="F16" s="12"/>
      <c r="G16" s="12"/>
      <c r="H16" s="12"/>
      <c r="I16" s="12"/>
      <c r="J16" s="15"/>
      <c r="K16" s="12"/>
      <c r="L16" s="12"/>
      <c r="M16" s="15"/>
      <c r="N16" s="12"/>
    </row>
    <row r="17" spans="1:16" s="8" customFormat="1" ht="20.25" customHeight="1" x14ac:dyDescent="0.25">
      <c r="A17" s="7">
        <f>SUM(C17:N17)</f>
        <v>100</v>
      </c>
      <c r="B17" s="2"/>
      <c r="C17" s="13">
        <f t="shared" ref="C17:N17" si="2">SUM(C19:C28)</f>
        <v>20</v>
      </c>
      <c r="D17" s="13">
        <f t="shared" si="2"/>
        <v>20</v>
      </c>
      <c r="E17" s="13">
        <f t="shared" si="2"/>
        <v>15</v>
      </c>
      <c r="F17" s="13">
        <f t="shared" si="2"/>
        <v>10</v>
      </c>
      <c r="G17" s="13">
        <f t="shared" si="2"/>
        <v>10</v>
      </c>
      <c r="H17" s="13">
        <f t="shared" si="2"/>
        <v>10</v>
      </c>
      <c r="I17" s="13">
        <f t="shared" si="2"/>
        <v>5</v>
      </c>
      <c r="J17" s="13">
        <f t="shared" si="2"/>
        <v>5</v>
      </c>
      <c r="K17" s="13">
        <f t="shared" si="2"/>
        <v>4</v>
      </c>
      <c r="L17" s="13">
        <f t="shared" si="2"/>
        <v>1</v>
      </c>
      <c r="M17" s="13">
        <f t="shared" si="2"/>
        <v>0</v>
      </c>
      <c r="N17" s="13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F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G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H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I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J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K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L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5" priority="23"/>
  </conditionalFormatting>
  <conditionalFormatting sqref="A3 P3">
    <cfRule type="duplicateValues" dxfId="24" priority="22"/>
  </conditionalFormatting>
  <conditionalFormatting sqref="A4 P4">
    <cfRule type="duplicateValues" dxfId="23" priority="21"/>
  </conditionalFormatting>
  <conditionalFormatting sqref="A5 P5">
    <cfRule type="duplicateValues" dxfId="22" priority="20"/>
  </conditionalFormatting>
  <conditionalFormatting sqref="A6 P6">
    <cfRule type="duplicateValues" dxfId="21" priority="19"/>
  </conditionalFormatting>
  <conditionalFormatting sqref="A7 P7">
    <cfRule type="duplicateValues" dxfId="20" priority="18"/>
  </conditionalFormatting>
  <conditionalFormatting sqref="A8 P8">
    <cfRule type="duplicateValues" dxfId="19" priority="17"/>
  </conditionalFormatting>
  <conditionalFormatting sqref="A9 P9">
    <cfRule type="duplicateValues" dxfId="18" priority="16"/>
  </conditionalFormatting>
  <conditionalFormatting sqref="A10 P10">
    <cfRule type="duplicateValues" dxfId="17" priority="15"/>
  </conditionalFormatting>
  <conditionalFormatting sqref="A11 P11">
    <cfRule type="duplicateValues" dxfId="16" priority="14"/>
  </conditionalFormatting>
  <conditionalFormatting sqref="A13:A14">
    <cfRule type="cellIs" dxfId="15" priority="27" operator="notEqual">
      <formula>100</formula>
    </cfRule>
  </conditionalFormatting>
  <conditionalFormatting sqref="A16:A17">
    <cfRule type="cellIs" dxfId="14" priority="25" operator="notEqual">
      <formula>100</formula>
    </cfRule>
  </conditionalFormatting>
  <conditionalFormatting sqref="A19 P19">
    <cfRule type="duplicateValues" dxfId="13" priority="12"/>
  </conditionalFormatting>
  <conditionalFormatting sqref="A20 P20">
    <cfRule type="duplicateValues" dxfId="12" priority="11"/>
  </conditionalFormatting>
  <conditionalFormatting sqref="A21 P21">
    <cfRule type="duplicateValues" dxfId="11" priority="10"/>
  </conditionalFormatting>
  <conditionalFormatting sqref="A22 P22">
    <cfRule type="duplicateValues" dxfId="10" priority="9"/>
  </conditionalFormatting>
  <conditionalFormatting sqref="A23 P23">
    <cfRule type="duplicateValues" dxfId="9" priority="8"/>
  </conditionalFormatting>
  <conditionalFormatting sqref="A24 P24">
    <cfRule type="duplicateValues" dxfId="8" priority="7"/>
  </conditionalFormatting>
  <conditionalFormatting sqref="A25 P25">
    <cfRule type="duplicateValues" dxfId="7" priority="6"/>
  </conditionalFormatting>
  <conditionalFormatting sqref="A26 P26">
    <cfRule type="duplicateValues" dxfId="6" priority="5"/>
  </conditionalFormatting>
  <conditionalFormatting sqref="A27 P27">
    <cfRule type="duplicateValues" dxfId="5" priority="4"/>
  </conditionalFormatting>
  <conditionalFormatting sqref="A28 P28">
    <cfRule type="duplicateValues" dxfId="4" priority="3"/>
  </conditionalFormatting>
  <conditionalFormatting sqref="C13:N13">
    <cfRule type="cellIs" dxfId="3" priority="2" operator="equal">
      <formula>0</formula>
    </cfRule>
  </conditionalFormatting>
  <conditionalFormatting sqref="C17:N17">
    <cfRule type="cellIs" dxfId="2" priority="1" operator="equal">
      <formula>0</formula>
    </cfRule>
  </conditionalFormatting>
  <conditionalFormatting sqref="P2 A2:A11">
    <cfRule type="duplicateValues" dxfId="1" priority="24"/>
  </conditionalFormatting>
  <conditionalFormatting sqref="P19 A19:A28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Route29</vt:lpstr>
      <vt:lpstr>Route30</vt:lpstr>
      <vt:lpstr>Route31</vt:lpstr>
      <vt:lpstr>Route32</vt:lpstr>
      <vt:lpstr>Route33</vt:lpstr>
      <vt:lpstr>Route34</vt:lpstr>
      <vt:lpstr>Route35</vt:lpstr>
      <vt:lpstr>Route36</vt:lpstr>
      <vt:lpstr>Route37</vt:lpstr>
      <vt:lpstr>Route38</vt:lpstr>
      <vt:lpstr>Route39</vt:lpstr>
      <vt:lpstr>Route42</vt:lpstr>
      <vt:lpstr>Route43</vt:lpstr>
      <vt:lpstr>Route44</vt:lpstr>
      <vt:lpstr>Route45</vt:lpstr>
      <vt:lpstr>Route46</vt:lpstr>
      <vt:lpstr>BurnedTower1F</vt:lpstr>
      <vt:lpstr>BurnedTowerB1F</vt:lpstr>
      <vt:lpstr>MtMortar1FOutside</vt:lpstr>
      <vt:lpstr>MtMortar1FInside</vt:lpstr>
      <vt:lpstr>MtMortar2FInside</vt:lpstr>
      <vt:lpstr>MtMortarB1F</vt:lpstr>
      <vt:lpstr>NationalPark</vt:lpstr>
      <vt:lpstr>IlexForest</vt:lpstr>
      <vt:lpstr>SlowpokeWellB1F</vt:lpstr>
      <vt:lpstr>SlowpokeWellB2F</vt:lpstr>
      <vt:lpstr>UnionCave1F</vt:lpstr>
      <vt:lpstr>UnionCaveB1F</vt:lpstr>
      <vt:lpstr>UnionCaveB2F</vt:lpstr>
      <vt:lpstr>RuinsOfAlphOutside</vt:lpstr>
      <vt:lpstr>RuinsOfAlph</vt:lpstr>
      <vt:lpstr>SproutTower</vt:lpstr>
      <vt:lpstr>DarkCave</vt:lpstr>
      <vt:lpstr>IcePath1F</vt:lpstr>
      <vt:lpstr>IcePathB1F</vt:lpstr>
      <vt:lpstr>IcePathB2FB3F</vt:lpstr>
      <vt:lpstr>TinTowerFloors</vt:lpstr>
      <vt:lpstr>WhirlIslandsALL</vt:lpstr>
      <vt:lpstr>SilverCaveOutside</vt:lpstr>
      <vt:lpstr>SilverCaveR1</vt:lpstr>
      <vt:lpstr>SilverCaveR2</vt:lpstr>
      <vt:lpstr>SilverCaveR3+ItemR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2026-01-29T01:27:38Z</dcterms:modified>
</cp:coreProperties>
</file>