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crawford\Desktop\SilverMirror Shortcuts\"/>
    </mc:Choice>
  </mc:AlternateContent>
  <xr:revisionPtr revIDLastSave="0" documentId="13_ncr:1_{34E45343-A7B7-4D95-A694-4EDA62EF391D}" xr6:coauthVersionLast="47" xr6:coauthVersionMax="47" xr10:uidLastSave="{00000000-0000-0000-0000-000000000000}"/>
  <bookViews>
    <workbookView xWindow="14295" yWindow="0" windowWidth="14610" windowHeight="15585" firstSheet="18" activeTab="20" xr2:uid="{8EF66737-E02C-43D2-816E-4AFF0E2B00C3}"/>
  </bookViews>
  <sheets>
    <sheet name="GROUPS" sheetId="50" r:id="rId1"/>
    <sheet name="FishStuff" sheetId="28" r:id="rId2"/>
    <sheet name="Route4" sheetId="43" r:id="rId3"/>
    <sheet name="Route6" sheetId="29" r:id="rId4"/>
    <sheet name="Route10N" sheetId="31" r:id="rId5"/>
    <sheet name="Route12,13" sheetId="32" r:id="rId6"/>
    <sheet name="Route19,20,21" sheetId="33" r:id="rId7"/>
    <sheet name="Route22" sheetId="34" r:id="rId8"/>
    <sheet name="Route23" sheetId="35" r:id="rId9"/>
    <sheet name="Route24,25" sheetId="36" r:id="rId10"/>
    <sheet name="Route26,27E" sheetId="37" r:id="rId11"/>
    <sheet name="Route28" sheetId="38" r:id="rId12"/>
    <sheet name="PalletTown(21)" sheetId="40" r:id="rId13"/>
    <sheet name="ViridianCity" sheetId="42" r:id="rId14"/>
    <sheet name="CeruleanCity" sheetId="44" r:id="rId15"/>
    <sheet name="VermilionCity,Port" sheetId="41" r:id="rId16"/>
    <sheet name="CeladonCity" sheetId="45" r:id="rId17"/>
    <sheet name="FuchsiaCity" sheetId="46" r:id="rId18"/>
    <sheet name="CinnabarIsland(20)" sheetId="47" r:id="rId19"/>
    <sheet name="CeruleanCave" sheetId="48" r:id="rId20"/>
    <sheet name="TohjoFalls" sheetId="51" r:id="rId21"/>
    <sheet name="SafariZone" sheetId="49" r:id="rId22"/>
    <sheet name="TEMPLATE" sheetId="1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51" l="1"/>
  <c r="H19" i="51" s="1"/>
  <c r="A17" i="51"/>
  <c r="A16" i="51"/>
  <c r="A15" i="51"/>
  <c r="M12" i="51"/>
  <c r="L12" i="51"/>
  <c r="K12" i="51"/>
  <c r="J12" i="51"/>
  <c r="I12" i="51"/>
  <c r="H12" i="51"/>
  <c r="F12" i="51"/>
  <c r="E12" i="51"/>
  <c r="D12" i="51"/>
  <c r="C12" i="51"/>
  <c r="M6" i="51"/>
  <c r="L6" i="51"/>
  <c r="K6" i="51"/>
  <c r="J6" i="51"/>
  <c r="I6" i="51"/>
  <c r="H6" i="51"/>
  <c r="F6" i="51"/>
  <c r="E6" i="51"/>
  <c r="D6" i="51"/>
  <c r="C6" i="51"/>
  <c r="A4" i="51"/>
  <c r="A3" i="51"/>
  <c r="A2" i="51"/>
  <c r="I19" i="49"/>
  <c r="H19" i="49" s="1"/>
  <c r="I19" i="45"/>
  <c r="H19" i="45" s="1"/>
  <c r="I19" i="41"/>
  <c r="H19" i="41" s="1"/>
  <c r="I19" i="38"/>
  <c r="H19" i="38" s="1"/>
  <c r="I19" i="35"/>
  <c r="H19" i="35" s="1"/>
  <c r="I19" i="33"/>
  <c r="H19" i="33" s="1"/>
  <c r="A17" i="47"/>
  <c r="A16" i="47"/>
  <c r="A15" i="47"/>
  <c r="F12" i="47"/>
  <c r="E12" i="47"/>
  <c r="D12" i="47"/>
  <c r="C12" i="47"/>
  <c r="F6" i="47"/>
  <c r="E6" i="47"/>
  <c r="D6" i="47"/>
  <c r="C6" i="47"/>
  <c r="A4" i="47"/>
  <c r="A17" i="44"/>
  <c r="A16" i="44"/>
  <c r="A15" i="44"/>
  <c r="F12" i="44"/>
  <c r="E12" i="44"/>
  <c r="D12" i="44"/>
  <c r="C12" i="44"/>
  <c r="F6" i="44"/>
  <c r="E6" i="44"/>
  <c r="D6" i="44"/>
  <c r="C6" i="44"/>
  <c r="A4" i="44"/>
  <c r="F6" i="42"/>
  <c r="E6" i="42"/>
  <c r="D6" i="42"/>
  <c r="C6" i="42"/>
  <c r="A4" i="42"/>
  <c r="A17" i="40"/>
  <c r="A16" i="40"/>
  <c r="A15" i="40"/>
  <c r="F12" i="40"/>
  <c r="E12" i="40"/>
  <c r="D12" i="40"/>
  <c r="C12" i="40"/>
  <c r="F6" i="40"/>
  <c r="E6" i="40"/>
  <c r="D6" i="40"/>
  <c r="C6" i="40"/>
  <c r="A4" i="40"/>
  <c r="F6" i="34"/>
  <c r="E6" i="34"/>
  <c r="D6" i="34"/>
  <c r="C6" i="34"/>
  <c r="A4" i="34"/>
  <c r="C12" i="34"/>
  <c r="D12" i="34"/>
  <c r="E12" i="34"/>
  <c r="F12" i="34"/>
  <c r="A17" i="31"/>
  <c r="A16" i="31"/>
  <c r="A15" i="31"/>
  <c r="F6" i="31"/>
  <c r="E6" i="31"/>
  <c r="D6" i="31"/>
  <c r="C6" i="31"/>
  <c r="A4" i="31"/>
  <c r="A3" i="31"/>
  <c r="A2" i="31"/>
  <c r="H6" i="49"/>
  <c r="I6" i="49"/>
  <c r="J6" i="49"/>
  <c r="K6" i="49"/>
  <c r="L6" i="49"/>
  <c r="M6" i="49"/>
  <c r="H12" i="49"/>
  <c r="I12" i="49"/>
  <c r="J12" i="49"/>
  <c r="K12" i="49"/>
  <c r="L12" i="49"/>
  <c r="M12" i="49"/>
  <c r="A17" i="49"/>
  <c r="A16" i="49"/>
  <c r="A15" i="49"/>
  <c r="F12" i="49"/>
  <c r="E12" i="49"/>
  <c r="D12" i="49"/>
  <c r="C12" i="49"/>
  <c r="F6" i="49"/>
  <c r="E6" i="49"/>
  <c r="D6" i="49"/>
  <c r="C6" i="49"/>
  <c r="A4" i="49"/>
  <c r="A3" i="49"/>
  <c r="A2" i="49"/>
  <c r="M6" i="48"/>
  <c r="L6" i="48"/>
  <c r="K6" i="48"/>
  <c r="J6" i="48"/>
  <c r="I6" i="48"/>
  <c r="H6" i="48"/>
  <c r="A17" i="48"/>
  <c r="A16" i="48"/>
  <c r="A15" i="48"/>
  <c r="M12" i="48"/>
  <c r="L12" i="48"/>
  <c r="K12" i="48"/>
  <c r="J12" i="48"/>
  <c r="I12" i="48"/>
  <c r="H12" i="48"/>
  <c r="F12" i="48"/>
  <c r="E12" i="48"/>
  <c r="D12" i="48"/>
  <c r="C12" i="48"/>
  <c r="F6" i="48"/>
  <c r="E6" i="48"/>
  <c r="D6" i="48"/>
  <c r="C6" i="48"/>
  <c r="A4" i="48"/>
  <c r="A3" i="48"/>
  <c r="A2" i="48"/>
  <c r="M12" i="47"/>
  <c r="L12" i="47"/>
  <c r="K12" i="47"/>
  <c r="J12" i="47"/>
  <c r="I12" i="47"/>
  <c r="H12" i="47"/>
  <c r="M6" i="47"/>
  <c r="L6" i="47"/>
  <c r="K6" i="47"/>
  <c r="J6" i="47"/>
  <c r="I6" i="47"/>
  <c r="H6" i="47"/>
  <c r="A3" i="47"/>
  <c r="A2" i="47"/>
  <c r="A17" i="46"/>
  <c r="A16" i="46"/>
  <c r="A15" i="46"/>
  <c r="M12" i="46"/>
  <c r="L12" i="46"/>
  <c r="K12" i="46"/>
  <c r="J12" i="46"/>
  <c r="I12" i="46"/>
  <c r="H12" i="46"/>
  <c r="F12" i="46"/>
  <c r="E12" i="46"/>
  <c r="D12" i="46"/>
  <c r="C12" i="46"/>
  <c r="M6" i="46"/>
  <c r="L6" i="46"/>
  <c r="K6" i="46"/>
  <c r="J6" i="46"/>
  <c r="I6" i="46"/>
  <c r="H6" i="46"/>
  <c r="F6" i="46"/>
  <c r="E6" i="46"/>
  <c r="D6" i="46"/>
  <c r="C6" i="46"/>
  <c r="A4" i="46"/>
  <c r="A3" i="46"/>
  <c r="A2" i="46"/>
  <c r="A17" i="45"/>
  <c r="A16" i="45"/>
  <c r="A15" i="45"/>
  <c r="M12" i="45"/>
  <c r="L12" i="45"/>
  <c r="K12" i="45"/>
  <c r="J12" i="45"/>
  <c r="I12" i="45"/>
  <c r="H12" i="45"/>
  <c r="F12" i="45"/>
  <c r="E12" i="45"/>
  <c r="D12" i="45"/>
  <c r="C12" i="45"/>
  <c r="M6" i="45"/>
  <c r="L6" i="45"/>
  <c r="K6" i="45"/>
  <c r="J6" i="45"/>
  <c r="I6" i="45"/>
  <c r="H6" i="45"/>
  <c r="F6" i="45"/>
  <c r="E6" i="45"/>
  <c r="D6" i="45"/>
  <c r="C6" i="45"/>
  <c r="A4" i="45"/>
  <c r="A3" i="45"/>
  <c r="A2" i="45"/>
  <c r="M12" i="44"/>
  <c r="L12" i="44"/>
  <c r="K12" i="44"/>
  <c r="J12" i="44"/>
  <c r="I12" i="44"/>
  <c r="H12" i="44"/>
  <c r="M6" i="44"/>
  <c r="L6" i="44"/>
  <c r="K6" i="44"/>
  <c r="J6" i="44"/>
  <c r="I6" i="44"/>
  <c r="H6" i="44"/>
  <c r="A3" i="44"/>
  <c r="A2" i="44"/>
  <c r="A17" i="43"/>
  <c r="A16" i="43"/>
  <c r="A15" i="43"/>
  <c r="M12" i="43"/>
  <c r="L12" i="43"/>
  <c r="K12" i="43"/>
  <c r="J12" i="43"/>
  <c r="I12" i="43"/>
  <c r="H12" i="43"/>
  <c r="F12" i="43"/>
  <c r="E12" i="43"/>
  <c r="D12" i="43"/>
  <c r="C12" i="43"/>
  <c r="M6" i="43"/>
  <c r="L6" i="43"/>
  <c r="K6" i="43"/>
  <c r="J6" i="43"/>
  <c r="I6" i="43"/>
  <c r="H6" i="43"/>
  <c r="F6" i="43"/>
  <c r="E6" i="43"/>
  <c r="D6" i="43"/>
  <c r="C6" i="43"/>
  <c r="A4" i="43"/>
  <c r="A3" i="43"/>
  <c r="A2" i="43"/>
  <c r="A17" i="42"/>
  <c r="A16" i="42"/>
  <c r="A15" i="42"/>
  <c r="M12" i="42"/>
  <c r="L12" i="42"/>
  <c r="K12" i="42"/>
  <c r="J12" i="42"/>
  <c r="I12" i="42"/>
  <c r="H12" i="42"/>
  <c r="F12" i="42"/>
  <c r="E12" i="42"/>
  <c r="D12" i="42"/>
  <c r="C12" i="42"/>
  <c r="M6" i="42"/>
  <c r="L6" i="42"/>
  <c r="K6" i="42"/>
  <c r="J6" i="42"/>
  <c r="I6" i="42"/>
  <c r="H6" i="42"/>
  <c r="A3" i="42"/>
  <c r="A2" i="42"/>
  <c r="A17" i="41"/>
  <c r="A16" i="41"/>
  <c r="A15" i="41"/>
  <c r="M12" i="41"/>
  <c r="L12" i="41"/>
  <c r="K12" i="41"/>
  <c r="J12" i="41"/>
  <c r="I12" i="41"/>
  <c r="H12" i="41"/>
  <c r="F12" i="41"/>
  <c r="E12" i="41"/>
  <c r="D12" i="41"/>
  <c r="C12" i="41"/>
  <c r="M6" i="41"/>
  <c r="L6" i="41"/>
  <c r="K6" i="41"/>
  <c r="J6" i="41"/>
  <c r="I6" i="41"/>
  <c r="H6" i="41"/>
  <c r="F6" i="41"/>
  <c r="E6" i="41"/>
  <c r="D6" i="41"/>
  <c r="C6" i="41"/>
  <c r="A4" i="41"/>
  <c r="A3" i="41"/>
  <c r="A2" i="41"/>
  <c r="M12" i="40"/>
  <c r="L12" i="40"/>
  <c r="K12" i="40"/>
  <c r="J12" i="40"/>
  <c r="I12" i="40"/>
  <c r="H12" i="40"/>
  <c r="M6" i="40"/>
  <c r="L6" i="40"/>
  <c r="K6" i="40"/>
  <c r="J6" i="40"/>
  <c r="I6" i="40"/>
  <c r="H6" i="40"/>
  <c r="A3" i="40"/>
  <c r="A2" i="40"/>
  <c r="A17" i="38"/>
  <c r="A16" i="38"/>
  <c r="A15" i="38"/>
  <c r="M12" i="38"/>
  <c r="L12" i="38"/>
  <c r="K12" i="38"/>
  <c r="J12" i="38"/>
  <c r="I12" i="38"/>
  <c r="H12" i="38"/>
  <c r="F12" i="38"/>
  <c r="E12" i="38"/>
  <c r="D12" i="38"/>
  <c r="C12" i="38"/>
  <c r="M6" i="38"/>
  <c r="L6" i="38"/>
  <c r="K6" i="38"/>
  <c r="J6" i="38"/>
  <c r="I6" i="38"/>
  <c r="H6" i="38"/>
  <c r="F6" i="38"/>
  <c r="E6" i="38"/>
  <c r="D6" i="38"/>
  <c r="C6" i="38"/>
  <c r="A4" i="38"/>
  <c r="A3" i="38"/>
  <c r="A2" i="38"/>
  <c r="A17" i="37"/>
  <c r="A16" i="37"/>
  <c r="A15" i="37"/>
  <c r="M12" i="37"/>
  <c r="L12" i="37"/>
  <c r="K12" i="37"/>
  <c r="J12" i="37"/>
  <c r="I12" i="37"/>
  <c r="H12" i="37"/>
  <c r="F12" i="37"/>
  <c r="E12" i="37"/>
  <c r="D12" i="37"/>
  <c r="C12" i="37"/>
  <c r="M6" i="37"/>
  <c r="L6" i="37"/>
  <c r="K6" i="37"/>
  <c r="J6" i="37"/>
  <c r="I6" i="37"/>
  <c r="H6" i="37"/>
  <c r="F6" i="37"/>
  <c r="E6" i="37"/>
  <c r="D6" i="37"/>
  <c r="C6" i="37"/>
  <c r="A4" i="37"/>
  <c r="A3" i="37"/>
  <c r="A2" i="37"/>
  <c r="A17" i="36"/>
  <c r="A16" i="36"/>
  <c r="A15" i="36"/>
  <c r="M12" i="36"/>
  <c r="L12" i="36"/>
  <c r="K12" i="36"/>
  <c r="J12" i="36"/>
  <c r="I12" i="36"/>
  <c r="H12" i="36"/>
  <c r="F12" i="36"/>
  <c r="E12" i="36"/>
  <c r="D12" i="36"/>
  <c r="C12" i="36"/>
  <c r="M6" i="36"/>
  <c r="L6" i="36"/>
  <c r="K6" i="36"/>
  <c r="J6" i="36"/>
  <c r="I6" i="36"/>
  <c r="H6" i="36"/>
  <c r="F6" i="36"/>
  <c r="E6" i="36"/>
  <c r="D6" i="36"/>
  <c r="C6" i="36"/>
  <c r="A4" i="36"/>
  <c r="A3" i="36"/>
  <c r="A2" i="36"/>
  <c r="A17" i="35"/>
  <c r="A16" i="35"/>
  <c r="A15" i="35"/>
  <c r="M12" i="35"/>
  <c r="L12" i="35"/>
  <c r="K12" i="35"/>
  <c r="J12" i="35"/>
  <c r="I12" i="35"/>
  <c r="H12" i="35"/>
  <c r="F12" i="35"/>
  <c r="E12" i="35"/>
  <c r="D12" i="35"/>
  <c r="C12" i="35"/>
  <c r="M6" i="35"/>
  <c r="L6" i="35"/>
  <c r="K6" i="35"/>
  <c r="J6" i="35"/>
  <c r="I6" i="35"/>
  <c r="H6" i="35"/>
  <c r="F6" i="35"/>
  <c r="E6" i="35"/>
  <c r="D6" i="35"/>
  <c r="C6" i="35"/>
  <c r="A4" i="35"/>
  <c r="A3" i="35"/>
  <c r="A2" i="35"/>
  <c r="A17" i="34"/>
  <c r="A16" i="34"/>
  <c r="A15" i="34"/>
  <c r="M12" i="34"/>
  <c r="L12" i="34"/>
  <c r="K12" i="34"/>
  <c r="J12" i="34"/>
  <c r="I12" i="34"/>
  <c r="H12" i="34"/>
  <c r="M6" i="34"/>
  <c r="L6" i="34"/>
  <c r="K6" i="34"/>
  <c r="J6" i="34"/>
  <c r="I6" i="34"/>
  <c r="H6" i="34"/>
  <c r="A3" i="34"/>
  <c r="A2" i="34"/>
  <c r="A17" i="33"/>
  <c r="A16" i="33"/>
  <c r="A15" i="33"/>
  <c r="M12" i="33"/>
  <c r="L12" i="33"/>
  <c r="K12" i="33"/>
  <c r="J12" i="33"/>
  <c r="I12" i="33"/>
  <c r="H12" i="33"/>
  <c r="F12" i="33"/>
  <c r="E12" i="33"/>
  <c r="D12" i="33"/>
  <c r="C12" i="33"/>
  <c r="M6" i="33"/>
  <c r="L6" i="33"/>
  <c r="K6" i="33"/>
  <c r="J6" i="33"/>
  <c r="I6" i="33"/>
  <c r="H6" i="33"/>
  <c r="F6" i="33"/>
  <c r="E6" i="33"/>
  <c r="D6" i="33"/>
  <c r="C6" i="33"/>
  <c r="A4" i="33"/>
  <c r="A3" i="33"/>
  <c r="A2" i="33"/>
  <c r="A17" i="32"/>
  <c r="A16" i="32"/>
  <c r="A15" i="32"/>
  <c r="M12" i="32"/>
  <c r="L12" i="32"/>
  <c r="K12" i="32"/>
  <c r="J12" i="32"/>
  <c r="I12" i="32"/>
  <c r="H12" i="32"/>
  <c r="F12" i="32"/>
  <c r="E12" i="32"/>
  <c r="D12" i="32"/>
  <c r="C12" i="32"/>
  <c r="M6" i="32"/>
  <c r="L6" i="32"/>
  <c r="K6" i="32"/>
  <c r="J6" i="32"/>
  <c r="I6" i="32"/>
  <c r="H6" i="32"/>
  <c r="F6" i="32"/>
  <c r="E6" i="32"/>
  <c r="D6" i="32"/>
  <c r="C6" i="32"/>
  <c r="A4" i="32"/>
  <c r="A3" i="32"/>
  <c r="A2" i="32"/>
  <c r="M12" i="31"/>
  <c r="L12" i="31"/>
  <c r="K12" i="31"/>
  <c r="J12" i="31"/>
  <c r="I12" i="31"/>
  <c r="H12" i="31"/>
  <c r="F12" i="31"/>
  <c r="E12" i="31"/>
  <c r="D12" i="31"/>
  <c r="C12" i="31"/>
  <c r="M6" i="31"/>
  <c r="L6" i="31"/>
  <c r="K6" i="31"/>
  <c r="J6" i="31"/>
  <c r="I6" i="31"/>
  <c r="H6" i="31"/>
  <c r="A17" i="29"/>
  <c r="A16" i="29"/>
  <c r="A15" i="29"/>
  <c r="M12" i="29"/>
  <c r="L12" i="29"/>
  <c r="K12" i="29"/>
  <c r="J12" i="29"/>
  <c r="I12" i="29"/>
  <c r="H12" i="29"/>
  <c r="F12" i="29"/>
  <c r="E12" i="29"/>
  <c r="D12" i="29"/>
  <c r="C12" i="29"/>
  <c r="M6" i="29"/>
  <c r="L6" i="29"/>
  <c r="K6" i="29"/>
  <c r="J6" i="29"/>
  <c r="I6" i="29"/>
  <c r="H6" i="29"/>
  <c r="F6" i="29"/>
  <c r="E6" i="29"/>
  <c r="D6" i="29"/>
  <c r="C6" i="29"/>
  <c r="A4" i="29"/>
  <c r="A3" i="29"/>
  <c r="A2" i="29"/>
  <c r="A17" i="1"/>
  <c r="A16" i="1"/>
  <c r="A15" i="1"/>
  <c r="A4" i="1"/>
  <c r="A3" i="1"/>
  <c r="A2" i="1"/>
  <c r="M12" i="1"/>
  <c r="L12" i="1"/>
  <c r="K12" i="1"/>
  <c r="J12" i="1"/>
  <c r="I12" i="1"/>
  <c r="H12" i="1"/>
  <c r="F12" i="1"/>
  <c r="E12" i="1"/>
  <c r="D12" i="1"/>
  <c r="C12" i="1"/>
  <c r="M6" i="1"/>
  <c r="L6" i="1"/>
  <c r="K6" i="1"/>
  <c r="J6" i="1"/>
  <c r="I6" i="1"/>
  <c r="H6" i="1"/>
  <c r="F6" i="1"/>
  <c r="E6" i="1"/>
  <c r="D6" i="1"/>
  <c r="C6" i="1"/>
</calcChain>
</file>

<file path=xl/sharedStrings.xml><?xml version="1.0" encoding="utf-8"?>
<sst xmlns="http://schemas.openxmlformats.org/spreadsheetml/2006/main" count="649" uniqueCount="245">
  <si>
    <t>GOLDEEN</t>
  </si>
  <si>
    <t>SEAKING</t>
  </si>
  <si>
    <t>PSYDUCK</t>
  </si>
  <si>
    <t>MAGIKARP</t>
  </si>
  <si>
    <t>POLIWAG</t>
  </si>
  <si>
    <t>POLIWHIRL</t>
  </si>
  <si>
    <t>KRABBY</t>
  </si>
  <si>
    <t>SHELLDER</t>
  </si>
  <si>
    <t>none?</t>
  </si>
  <si>
    <t>none</t>
  </si>
  <si>
    <t>SLOWPOKE</t>
  </si>
  <si>
    <r>
      <t xml:space="preserve">HORSEA </t>
    </r>
    <r>
      <rPr>
        <sz val="11"/>
        <color rgb="FFFF0000"/>
        <rFont val="Aptos Narrow"/>
        <family val="2"/>
        <scheme val="minor"/>
      </rPr>
      <t>SLOWPOKE</t>
    </r>
  </si>
  <si>
    <r>
      <t xml:space="preserve">KRABBY </t>
    </r>
    <r>
      <rPr>
        <sz val="11"/>
        <color rgb="FFFF0000"/>
        <rFont val="Aptos Narrow"/>
        <family val="2"/>
        <scheme val="minor"/>
      </rPr>
      <t xml:space="preserve">POLIWHIRL </t>
    </r>
  </si>
  <si>
    <t>KINGLER</t>
  </si>
  <si>
    <r>
      <t xml:space="preserve">70 </t>
    </r>
    <r>
      <rPr>
        <sz val="10"/>
        <color rgb="FFFF0000"/>
        <rFont val="Aptos Narrow"/>
        <family val="2"/>
        <scheme val="minor"/>
      </rPr>
      <t>50</t>
    </r>
  </si>
  <si>
    <r>
      <t xml:space="preserve">20 </t>
    </r>
    <r>
      <rPr>
        <sz val="10"/>
        <color rgb="FFFF0000"/>
        <rFont val="Aptos Narrow"/>
        <family val="2"/>
        <scheme val="minor"/>
      </rPr>
      <t>50</t>
    </r>
  </si>
  <si>
    <r>
      <t xml:space="preserve">15-20  </t>
    </r>
    <r>
      <rPr>
        <sz val="10"/>
        <color rgb="FFFF0000"/>
        <rFont val="Aptos Narrow"/>
        <family val="2"/>
        <scheme val="minor"/>
      </rPr>
      <t>23</t>
    </r>
  </si>
  <si>
    <r>
      <t xml:space="preserve">10  </t>
    </r>
    <r>
      <rPr>
        <sz val="10"/>
        <color rgb="FFFF0000"/>
        <rFont val="Aptos Narrow"/>
        <family val="2"/>
        <scheme val="minor"/>
      </rPr>
      <t>15</t>
    </r>
  </si>
  <si>
    <t>SLOWBRO</t>
  </si>
  <si>
    <t>TENTACOOL</t>
  </si>
  <si>
    <r>
      <t xml:space="preserve">HORSEA </t>
    </r>
    <r>
      <rPr>
        <sz val="11"/>
        <color rgb="FFFF0000"/>
        <rFont val="Aptos Narrow"/>
        <family val="2"/>
        <scheme val="minor"/>
      </rPr>
      <t>KRABBY</t>
    </r>
  </si>
  <si>
    <r>
      <t xml:space="preserve">SEADRA </t>
    </r>
    <r>
      <rPr>
        <sz val="11"/>
        <color rgb="FFFF0000"/>
        <rFont val="Aptos Narrow"/>
        <family val="2"/>
        <scheme val="minor"/>
      </rPr>
      <t>TENTACOOL</t>
    </r>
  </si>
  <si>
    <r>
      <t xml:space="preserve">70  </t>
    </r>
    <r>
      <rPr>
        <sz val="10"/>
        <color rgb="FFFF0000"/>
        <rFont val="Aptos Narrow"/>
        <family val="2"/>
        <scheme val="minor"/>
      </rPr>
      <t>25</t>
    </r>
  </si>
  <si>
    <r>
      <t xml:space="preserve">30  </t>
    </r>
    <r>
      <rPr>
        <sz val="10"/>
        <color rgb="FFFF0000"/>
        <rFont val="Aptos Narrow"/>
        <family val="2"/>
        <scheme val="minor"/>
      </rPr>
      <t>25</t>
    </r>
  </si>
  <si>
    <r>
      <t xml:space="preserve">20-25  </t>
    </r>
    <r>
      <rPr>
        <sz val="10"/>
        <color rgb="FFFF0000"/>
        <rFont val="Aptos Narrow"/>
        <family val="2"/>
        <scheme val="minor"/>
      </rPr>
      <t>15</t>
    </r>
  </si>
  <si>
    <r>
      <t xml:space="preserve">25-35  </t>
    </r>
    <r>
      <rPr>
        <sz val="10"/>
        <color rgb="FFFF0000"/>
        <rFont val="Aptos Narrow"/>
        <family val="2"/>
        <scheme val="minor"/>
      </rPr>
      <t>5</t>
    </r>
  </si>
  <si>
    <t>TENTACRUEL</t>
  </si>
  <si>
    <t>QUILFISH</t>
  </si>
  <si>
    <t>HORSEA</t>
  </si>
  <si>
    <t>STARYU</t>
  </si>
  <si>
    <r>
      <t xml:space="preserve">TENTACOOL </t>
    </r>
    <r>
      <rPr>
        <sz val="11"/>
        <color rgb="FFFF0000"/>
        <rFont val="Aptos Narrow"/>
        <family val="2"/>
        <scheme val="minor"/>
      </rPr>
      <t>SHELLDER</t>
    </r>
  </si>
  <si>
    <r>
      <t xml:space="preserve">STARYU </t>
    </r>
    <r>
      <rPr>
        <sz val="11"/>
        <color rgb="FFFF0000"/>
        <rFont val="Aptos Narrow"/>
        <family val="2"/>
        <scheme val="minor"/>
      </rPr>
      <t>HORSEA</t>
    </r>
  </si>
  <si>
    <r>
      <t xml:space="preserve">60  </t>
    </r>
    <r>
      <rPr>
        <sz val="10"/>
        <color rgb="FFFF0000"/>
        <rFont val="Aptos Narrow"/>
        <family val="2"/>
        <scheme val="minor"/>
      </rPr>
      <t>25</t>
    </r>
  </si>
  <si>
    <r>
      <t xml:space="preserve">10  </t>
    </r>
    <r>
      <rPr>
        <sz val="10"/>
        <color rgb="FFFF0000"/>
        <rFont val="Aptos Narrow"/>
        <family val="2"/>
        <scheme val="minor"/>
      </rPr>
      <t>25</t>
    </r>
  </si>
  <si>
    <t>5-40</t>
  </si>
  <si>
    <t>15-30</t>
  </si>
  <si>
    <t>CORSOLA STARYU</t>
  </si>
  <si>
    <t>lake / river</t>
  </si>
  <si>
    <t>pond</t>
  </si>
  <si>
    <t>chinchou</t>
  </si>
  <si>
    <t>shore</t>
  </si>
  <si>
    <t>ocean</t>
  </si>
  <si>
    <r>
      <t xml:space="preserve">90  </t>
    </r>
    <r>
      <rPr>
        <sz val="10"/>
        <color rgb="FFFF0000"/>
        <rFont val="Aptos Narrow"/>
        <family val="2"/>
        <scheme val="minor"/>
      </rPr>
      <t>50</t>
    </r>
  </si>
  <si>
    <t>SEADRA</t>
  </si>
  <si>
    <r>
      <t xml:space="preserve">70  </t>
    </r>
    <r>
      <rPr>
        <sz val="10"/>
        <color rgb="FFFF0000"/>
        <rFont val="Aptos Narrow"/>
        <family val="2"/>
        <scheme val="minor"/>
      </rPr>
      <t>33</t>
    </r>
  </si>
  <si>
    <t>shore / ocean</t>
  </si>
  <si>
    <t>CHINCHOU</t>
  </si>
  <si>
    <t>LANTURN</t>
  </si>
  <si>
    <t>GRIMER</t>
  </si>
  <si>
    <t>MUK</t>
  </si>
  <si>
    <t>GYARADOS</t>
  </si>
  <si>
    <r>
      <rPr>
        <sz val="10"/>
        <rFont val="Aptos Narrow"/>
        <family val="2"/>
        <scheme val="minor"/>
      </rPr>
      <t xml:space="preserve">90  </t>
    </r>
    <r>
      <rPr>
        <sz val="10"/>
        <color rgb="FFFF0000"/>
        <rFont val="Aptos Narrow"/>
        <family val="2"/>
        <scheme val="minor"/>
      </rPr>
      <t>25</t>
    </r>
  </si>
  <si>
    <t>DRATINI</t>
  </si>
  <si>
    <t>DRAGONAIR</t>
  </si>
  <si>
    <t>HORSEA KRABBY</t>
  </si>
  <si>
    <t>PSYDUCK SLOWPOKE</t>
  </si>
  <si>
    <t>POND</t>
  </si>
  <si>
    <t>LAKE (river)</t>
  </si>
  <si>
    <t>SHORE</t>
  </si>
  <si>
    <t>OCEAN</t>
  </si>
  <si>
    <t>WOOPER</t>
  </si>
  <si>
    <t>MARIL</t>
  </si>
  <si>
    <t>CORSOLA</t>
  </si>
  <si>
    <t>REMORAID</t>
  </si>
  <si>
    <t>MANTINE</t>
  </si>
  <si>
    <t>pallet</t>
  </si>
  <si>
    <t>vermilion</t>
  </si>
  <si>
    <t>new bark</t>
  </si>
  <si>
    <t>olivine</t>
  </si>
  <si>
    <t>union b2f</t>
  </si>
  <si>
    <t>mt mortar</t>
  </si>
  <si>
    <t>power plant</t>
  </si>
  <si>
    <t>alph</t>
  </si>
  <si>
    <t>union 1f, b1f</t>
  </si>
  <si>
    <t>cherrygrove</t>
  </si>
  <si>
    <t>cianwood</t>
  </si>
  <si>
    <t>cerulean</t>
  </si>
  <si>
    <t>cinnabar</t>
  </si>
  <si>
    <t>34, 40, 41</t>
  </si>
  <si>
    <t>19, 20, 21</t>
  </si>
  <si>
    <t>26, 27</t>
  </si>
  <si>
    <t>12, 13</t>
  </si>
  <si>
    <t>ilex</t>
  </si>
  <si>
    <t>park</t>
  </si>
  <si>
    <t>30, 31, 35, 44</t>
  </si>
  <si>
    <t>6, 22, 28</t>
  </si>
  <si>
    <t>viridian</t>
  </si>
  <si>
    <t>violet</t>
  </si>
  <si>
    <t>ecruteak</t>
  </si>
  <si>
    <t>blackthorn</t>
  </si>
  <si>
    <t>silver-out</t>
  </si>
  <si>
    <t>32, 34, 40, 41</t>
  </si>
  <si>
    <t>whirl LL</t>
  </si>
  <si>
    <t>well</t>
  </si>
  <si>
    <t>tohjo</t>
  </si>
  <si>
    <t>dark cave</t>
  </si>
  <si>
    <t>whirl</t>
  </si>
  <si>
    <t>4, 9, 10, 24, 25</t>
  </si>
  <si>
    <t>union</t>
  </si>
  <si>
    <t>mortar</t>
  </si>
  <si>
    <t>silver-in</t>
  </si>
  <si>
    <t>6, 10, 11, 12</t>
  </si>
  <si>
    <t>13, 17, 18, 19</t>
  </si>
  <si>
    <t>20, 21, 22, 23</t>
  </si>
  <si>
    <t>24, 25</t>
  </si>
  <si>
    <t>celadon</t>
  </si>
  <si>
    <t>fuschia</t>
  </si>
  <si>
    <t>safari</t>
  </si>
  <si>
    <t>seafoam</t>
  </si>
  <si>
    <t>surf</t>
  </si>
  <si>
    <t>rod</t>
  </si>
  <si>
    <t>grass</t>
  </si>
  <si>
    <t>yellow</t>
  </si>
  <si>
    <t>red</t>
  </si>
  <si>
    <t>6, 10, 11</t>
  </si>
  <si>
    <t>12, 13, 17, 18</t>
  </si>
  <si>
    <t>22, 23, 24, 25</t>
  </si>
  <si>
    <t>10, 25</t>
  </si>
  <si>
    <t>6, 11, 12, 13</t>
  </si>
  <si>
    <t>17, 18, 24, 25</t>
  </si>
  <si>
    <t>6, 11</t>
  </si>
  <si>
    <t>19, 20, 21, 25</t>
  </si>
  <si>
    <t>17, 18</t>
  </si>
  <si>
    <t>11, 13, 17, 18</t>
  </si>
  <si>
    <t>10, 11, 12, 13</t>
  </si>
  <si>
    <t>MAGKIARP</t>
  </si>
  <si>
    <t>MARILL</t>
  </si>
  <si>
    <t>old</t>
  </si>
  <si>
    <t>MAGIKARP  95</t>
  </si>
  <si>
    <t>POLIWAG    5</t>
  </si>
  <si>
    <t>good</t>
  </si>
  <si>
    <t>POLIWAG   70</t>
  </si>
  <si>
    <t>MAGIKARP  30</t>
  </si>
  <si>
    <t>super</t>
  </si>
  <si>
    <t>super2</t>
  </si>
  <si>
    <t>MAGIKARP  20</t>
  </si>
  <si>
    <t>POLIWHIRL 10</t>
  </si>
  <si>
    <t>surf POND</t>
  </si>
  <si>
    <t>POLIWAG   50  50</t>
  </si>
  <si>
    <t>PSYDUCK   30  30</t>
  </si>
  <si>
    <t>SLOWPOKE  20  10</t>
  </si>
  <si>
    <t>~</t>
  </si>
  <si>
    <t>WOOPER        10</t>
  </si>
  <si>
    <t>MAGIKARP 95</t>
  </si>
  <si>
    <t>GOLDEEN   5</t>
  </si>
  <si>
    <t>GOLDEEN  70</t>
  </si>
  <si>
    <t>MAGIKARP 30</t>
  </si>
  <si>
    <t>MAGIKARP 20</t>
  </si>
  <si>
    <t>SEAKING 10</t>
  </si>
  <si>
    <t>GOLDEEN  60</t>
  </si>
  <si>
    <t>SEAKING  10</t>
  </si>
  <si>
    <t>QUILFISH 10</t>
  </si>
  <si>
    <t>surf LAKE</t>
  </si>
  <si>
    <t>MAGIKARP 60  50</t>
  </si>
  <si>
    <t>GOLDEEN  30  30</t>
  </si>
  <si>
    <t>SEAKING  10  10</t>
  </si>
  <si>
    <t>MARILL       10</t>
  </si>
  <si>
    <t>TENTACOOL 95</t>
  </si>
  <si>
    <t>KRABBY     5</t>
  </si>
  <si>
    <t>KRABBY    50</t>
  </si>
  <si>
    <t>TENTACOOL 30</t>
  </si>
  <si>
    <t>SHELLDER  20</t>
  </si>
  <si>
    <t>KRABBY    40</t>
  </si>
  <si>
    <t>SHELLDER  30</t>
  </si>
  <si>
    <t>TENTACOOL 20</t>
  </si>
  <si>
    <t>STARYU    10</t>
  </si>
  <si>
    <t>CORSOLA   10</t>
  </si>
  <si>
    <t>surf SHORE</t>
  </si>
  <si>
    <t>TENTACOOL  60</t>
  </si>
  <si>
    <t>SLOWPOKE   30</t>
  </si>
  <si>
    <t>SLOWBRO    10</t>
  </si>
  <si>
    <t>OR</t>
  </si>
  <si>
    <t>HORSEA     30</t>
  </si>
  <si>
    <t>STARYU     10</t>
  </si>
  <si>
    <t>~CORSOLA</t>
  </si>
  <si>
    <t>HORSEA     5</t>
  </si>
  <si>
    <t>HORSEA    60</t>
  </si>
  <si>
    <t>TENTACOOL 40</t>
  </si>
  <si>
    <t>HORSEA     50</t>
  </si>
  <si>
    <t>STARYU     25</t>
  </si>
  <si>
    <t>TENTACOOL  20</t>
  </si>
  <si>
    <t>TENTACRUEL  5</t>
  </si>
  <si>
    <t>CHINCHOU   20</t>
  </si>
  <si>
    <t>REMORAID   10</t>
  </si>
  <si>
    <t>surf OCEAN</t>
  </si>
  <si>
    <t>TENTACOOL  60  50</t>
  </si>
  <si>
    <t>HORSEA     30  30</t>
  </si>
  <si>
    <t>STARYU     10  10</t>
  </si>
  <si>
    <t>~CORSOLA nite STARYU</t>
  </si>
  <si>
    <t>MANTINE        10</t>
  </si>
  <si>
    <t>CORSOLA    20    nite STARYU</t>
  </si>
  <si>
    <t>MAGIKARP 100</t>
  </si>
  <si>
    <t>MAGIKARP 90</t>
  </si>
  <si>
    <t>GYARADOS 10</t>
  </si>
  <si>
    <t>MAGIKARP 70</t>
  </si>
  <si>
    <t>GYARADOS 30</t>
  </si>
  <si>
    <t>surf GYARADOS</t>
  </si>
  <si>
    <t>MAGIKARP  90</t>
  </si>
  <si>
    <t>GAYARADOS 10</t>
  </si>
  <si>
    <t xml:space="preserve"> FISHGROUP_DRATINI_SWARM</t>
  </si>
  <si>
    <t>DRATINI  10</t>
  </si>
  <si>
    <t>MAGIKARP  60</t>
  </si>
  <si>
    <t>DRATINI   30</t>
  </si>
  <si>
    <t>DRAGONAIR 10</t>
  </si>
  <si>
    <t>surf DRATINI</t>
  </si>
  <si>
    <t>MAGIKARP  100</t>
  </si>
  <si>
    <t>or</t>
  </si>
  <si>
    <t>DRATINI   10</t>
  </si>
  <si>
    <t>KRABBY  90</t>
  </si>
  <si>
    <t>HORSEA  10</t>
  </si>
  <si>
    <t>KRABBY  50</t>
  </si>
  <si>
    <t>HORSEA  50</t>
  </si>
  <si>
    <t>KRABBY  40</t>
  </si>
  <si>
    <t>HORSEA  40</t>
  </si>
  <si>
    <t>KINGLER 10</t>
  </si>
  <si>
    <t>SEADRA  10</t>
  </si>
  <si>
    <t>FISHGROUP_SHELLDER_SWARM</t>
  </si>
  <si>
    <t>FISHGROUP_SHELLDER</t>
  </si>
  <si>
    <t>FISHGROUP_POND</t>
  </si>
  <si>
    <t>FISHGROUP_LAKE</t>
  </si>
  <si>
    <t>FISHGROUP_SHORE</t>
  </si>
  <si>
    <t>FISHGROUP_OCEAN</t>
  </si>
  <si>
    <t>FISHGROUP_GYARADOS</t>
  </si>
  <si>
    <t>FISHGROUP_DRATINI</t>
  </si>
  <si>
    <t>FISHGROUP_WHIRL_ISLANDS</t>
  </si>
  <si>
    <t>FISHGROUP_QWILFISH</t>
  </si>
  <si>
    <t>FISHGROUP_REMORAID</t>
  </si>
  <si>
    <t>FISHGROUP_DRATINI_2</t>
  </si>
  <si>
    <t>FISHGROUP_QWILFISH_NO_SWARM</t>
  </si>
  <si>
    <t>FISHGROUP_REMORAID_SWARM</t>
  </si>
  <si>
    <t>FISHGROUP_QWILFISH_SWARM</t>
  </si>
  <si>
    <t>FISHGROUP_STARYU</t>
  </si>
  <si>
    <t>FISHGROUP_STARYU_SWARM</t>
  </si>
  <si>
    <t>FISHGROUP_CHINCHOU</t>
  </si>
  <si>
    <t>FISHGROUP_CHINCHOU_SWARM</t>
  </si>
  <si>
    <t>dratini</t>
  </si>
  <si>
    <t>21 shore</t>
  </si>
  <si>
    <t>gyarados</t>
  </si>
  <si>
    <t>quilfish?</t>
  </si>
  <si>
    <t>15-28</t>
  </si>
  <si>
    <t>16-29</t>
  </si>
  <si>
    <t>19 shore STARYU</t>
  </si>
  <si>
    <t>20 ocean HORSEA</t>
  </si>
  <si>
    <t>city SHELLDER</t>
  </si>
  <si>
    <t>port    OCEAN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</si>
</sst>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FFC000"/>
      <name val="Aptos Narrow"/>
      <family val="2"/>
      <scheme val="minor"/>
    </font>
    <font>
      <u/>
      <sz val="11"/>
      <color rgb="FFFFC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u/>
      <sz val="11"/>
      <name val="Aptos Narrow"/>
      <family val="2"/>
      <scheme val="minor"/>
    </font>
    <font>
      <u/>
      <sz val="11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b/>
      <u/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4" borderId="1" xfId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2" borderId="1" xfId="1" quotePrefix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4" fillId="0" borderId="0" xfId="0" applyFont="1"/>
    <xf numFmtId="0" fontId="3" fillId="7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8B5A3EB4-1580-471F-92F0-F67C8758771D}"/>
  </cellStyles>
  <dxfs count="42"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A5936-05BD-479E-A312-6136177431A0}">
  <dimension ref="A1:N39"/>
  <sheetViews>
    <sheetView topLeftCell="A7" workbookViewId="0">
      <selection activeCell="B34" sqref="B34"/>
    </sheetView>
  </sheetViews>
  <sheetFormatPr defaultColWidth="11.7109375" defaultRowHeight="15.95" customHeight="1" x14ac:dyDescent="0.25"/>
  <cols>
    <col min="1" max="1" width="11.7109375" style="37"/>
    <col min="2" max="16384" width="11.7109375" style="4"/>
  </cols>
  <sheetData>
    <row r="1" spans="1:13" s="3" customFormat="1" ht="15.95" customHeight="1" x14ac:dyDescent="0.25">
      <c r="A1" s="31" t="s">
        <v>56</v>
      </c>
      <c r="B1" s="29" t="s">
        <v>110</v>
      </c>
      <c r="C1" s="22" t="s">
        <v>109</v>
      </c>
      <c r="D1" s="30" t="s">
        <v>111</v>
      </c>
      <c r="E1" s="39" t="s">
        <v>112</v>
      </c>
      <c r="F1" s="17" t="s">
        <v>113</v>
      </c>
    </row>
    <row r="2" spans="1:13" ht="15.95" customHeight="1" x14ac:dyDescent="0.25">
      <c r="A2" s="32" t="s">
        <v>3</v>
      </c>
    </row>
    <row r="3" spans="1:13" ht="15.95" customHeight="1" x14ac:dyDescent="0.25">
      <c r="A3" s="33" t="s">
        <v>4</v>
      </c>
      <c r="B3" s="4" t="s">
        <v>85</v>
      </c>
      <c r="C3" s="4" t="s">
        <v>84</v>
      </c>
      <c r="D3" s="4" t="s">
        <v>86</v>
      </c>
      <c r="E3" s="4" t="s">
        <v>87</v>
      </c>
      <c r="F3" s="4" t="s">
        <v>88</v>
      </c>
      <c r="G3" s="4" t="s">
        <v>89</v>
      </c>
      <c r="H3" s="4" t="s">
        <v>72</v>
      </c>
      <c r="I3" s="4" t="s">
        <v>82</v>
      </c>
      <c r="J3" s="4" t="s">
        <v>90</v>
      </c>
    </row>
    <row r="4" spans="1:13" ht="15.95" customHeight="1" x14ac:dyDescent="0.25">
      <c r="A4" s="34"/>
      <c r="B4" s="38" t="s">
        <v>101</v>
      </c>
      <c r="C4" s="38" t="s">
        <v>102</v>
      </c>
      <c r="D4" s="38" t="s">
        <v>103</v>
      </c>
      <c r="E4" s="38" t="s">
        <v>104</v>
      </c>
      <c r="F4" s="38" t="s">
        <v>65</v>
      </c>
      <c r="G4" s="38" t="s">
        <v>86</v>
      </c>
      <c r="H4" s="38" t="s">
        <v>76</v>
      </c>
      <c r="I4" s="38" t="s">
        <v>66</v>
      </c>
      <c r="J4" s="38" t="s">
        <v>105</v>
      </c>
      <c r="K4" s="38" t="s">
        <v>106</v>
      </c>
      <c r="L4" s="23" t="s">
        <v>77</v>
      </c>
      <c r="M4" s="23" t="s">
        <v>107</v>
      </c>
    </row>
    <row r="5" spans="1:13" ht="15.95" customHeight="1" x14ac:dyDescent="0.25">
      <c r="A5" s="35" t="s">
        <v>2</v>
      </c>
      <c r="B5" s="4">
        <v>6</v>
      </c>
      <c r="C5" s="4">
        <v>35</v>
      </c>
      <c r="D5" s="4" t="s">
        <v>82</v>
      </c>
      <c r="E5" s="4" t="s">
        <v>83</v>
      </c>
    </row>
    <row r="6" spans="1:13" ht="15.95" customHeight="1" x14ac:dyDescent="0.25">
      <c r="A6" s="36"/>
      <c r="B6" s="26">
        <v>6</v>
      </c>
      <c r="C6" s="25" t="s">
        <v>104</v>
      </c>
      <c r="D6" s="25" t="s">
        <v>76</v>
      </c>
      <c r="E6" s="25" t="s">
        <v>107</v>
      </c>
    </row>
    <row r="7" spans="1:13" ht="15.95" customHeight="1" x14ac:dyDescent="0.25">
      <c r="A7" s="35" t="s">
        <v>10</v>
      </c>
      <c r="B7" s="4" t="s">
        <v>93</v>
      </c>
      <c r="C7" s="4" t="s">
        <v>94</v>
      </c>
    </row>
    <row r="8" spans="1:13" ht="15.95" customHeight="1" x14ac:dyDescent="0.25">
      <c r="A8" s="36"/>
      <c r="B8" s="26" t="s">
        <v>81</v>
      </c>
      <c r="C8" s="27" t="s">
        <v>108</v>
      </c>
      <c r="D8" s="25">
        <v>10</v>
      </c>
      <c r="E8" s="25" t="s">
        <v>105</v>
      </c>
      <c r="F8" s="25" t="s">
        <v>107</v>
      </c>
      <c r="G8" s="28" t="s">
        <v>108</v>
      </c>
    </row>
    <row r="9" spans="1:13" ht="15.95" customHeight="1" x14ac:dyDescent="0.25">
      <c r="A9" s="35" t="s">
        <v>60</v>
      </c>
      <c r="B9" s="4">
        <v>32</v>
      </c>
      <c r="C9" s="4" t="s">
        <v>72</v>
      </c>
      <c r="D9" s="4" t="s">
        <v>73</v>
      </c>
    </row>
    <row r="11" spans="1:13" s="3" customFormat="1" ht="15.95" customHeight="1" x14ac:dyDescent="0.25">
      <c r="A11" s="31" t="s">
        <v>57</v>
      </c>
    </row>
    <row r="12" spans="1:13" ht="15.95" customHeight="1" x14ac:dyDescent="0.25">
      <c r="A12" s="32" t="s">
        <v>3</v>
      </c>
    </row>
    <row r="13" spans="1:13" ht="15.95" customHeight="1" x14ac:dyDescent="0.25">
      <c r="A13" s="34" t="s">
        <v>0</v>
      </c>
      <c r="B13" s="4" t="s">
        <v>97</v>
      </c>
      <c r="C13" s="4">
        <v>42</v>
      </c>
      <c r="D13" s="4" t="s">
        <v>76</v>
      </c>
      <c r="E13" s="4" t="s">
        <v>94</v>
      </c>
      <c r="F13" s="4" t="s">
        <v>93</v>
      </c>
      <c r="G13" s="4" t="s">
        <v>98</v>
      </c>
      <c r="H13" s="4" t="s">
        <v>99</v>
      </c>
      <c r="I13" s="4" t="s">
        <v>95</v>
      </c>
      <c r="J13" s="4" t="s">
        <v>100</v>
      </c>
    </row>
    <row r="14" spans="1:13" ht="15.95" customHeight="1" x14ac:dyDescent="0.25">
      <c r="A14" s="34"/>
      <c r="B14" s="38" t="s">
        <v>114</v>
      </c>
      <c r="C14" s="38" t="s">
        <v>115</v>
      </c>
      <c r="D14" s="38" t="s">
        <v>79</v>
      </c>
      <c r="E14" s="38" t="s">
        <v>116</v>
      </c>
      <c r="F14" s="38" t="s">
        <v>65</v>
      </c>
      <c r="G14" s="38" t="s">
        <v>86</v>
      </c>
      <c r="H14" s="38" t="s">
        <v>76</v>
      </c>
      <c r="I14" s="38" t="s">
        <v>66</v>
      </c>
      <c r="J14" s="38" t="s">
        <v>105</v>
      </c>
      <c r="K14" s="38" t="s">
        <v>106</v>
      </c>
      <c r="L14" s="38" t="s">
        <v>77</v>
      </c>
      <c r="M14" s="38" t="s">
        <v>107</v>
      </c>
    </row>
    <row r="15" spans="1:13" ht="15.95" customHeight="1" x14ac:dyDescent="0.25">
      <c r="A15" s="32" t="s">
        <v>27</v>
      </c>
      <c r="B15" s="4" t="s">
        <v>81</v>
      </c>
      <c r="C15" s="4">
        <v>32</v>
      </c>
    </row>
    <row r="16" spans="1:13" ht="15.95" customHeight="1" x14ac:dyDescent="0.25">
      <c r="A16" s="35" t="s">
        <v>61</v>
      </c>
      <c r="B16" s="4">
        <v>42</v>
      </c>
      <c r="C16" s="4" t="s">
        <v>70</v>
      </c>
    </row>
    <row r="18" spans="1:14" s="3" customFormat="1" ht="15.95" customHeight="1" x14ac:dyDescent="0.25">
      <c r="A18" s="31" t="s">
        <v>58</v>
      </c>
    </row>
    <row r="19" spans="1:14" ht="15.95" customHeight="1" x14ac:dyDescent="0.25">
      <c r="A19" s="32" t="s">
        <v>3</v>
      </c>
    </row>
    <row r="20" spans="1:14" ht="15.95" customHeight="1" x14ac:dyDescent="0.25">
      <c r="A20" s="32" t="s">
        <v>6</v>
      </c>
      <c r="B20" s="4" t="s">
        <v>79</v>
      </c>
      <c r="C20" s="4" t="s">
        <v>78</v>
      </c>
      <c r="D20" s="4" t="s">
        <v>76</v>
      </c>
      <c r="E20" s="4" t="s">
        <v>77</v>
      </c>
      <c r="F20" s="4" t="s">
        <v>74</v>
      </c>
      <c r="G20" s="4" t="s">
        <v>68</v>
      </c>
      <c r="H20" s="4" t="s">
        <v>75</v>
      </c>
      <c r="I20" s="4" t="s">
        <v>95</v>
      </c>
      <c r="J20" s="4" t="s">
        <v>96</v>
      </c>
    </row>
    <row r="21" spans="1:14" ht="15.95" customHeight="1" x14ac:dyDescent="0.25">
      <c r="A21" s="32"/>
      <c r="B21" s="38" t="s">
        <v>117</v>
      </c>
      <c r="C21" s="27" t="s">
        <v>108</v>
      </c>
      <c r="D21" s="25" t="s">
        <v>118</v>
      </c>
      <c r="E21" s="25" t="s">
        <v>119</v>
      </c>
      <c r="F21" s="25" t="s">
        <v>76</v>
      </c>
      <c r="G21" s="25" t="s">
        <v>66</v>
      </c>
      <c r="H21" s="25" t="s">
        <v>106</v>
      </c>
      <c r="I21" s="25" t="s">
        <v>107</v>
      </c>
    </row>
    <row r="22" spans="1:14" ht="15.95" customHeight="1" x14ac:dyDescent="0.25">
      <c r="A22" s="32" t="s">
        <v>7</v>
      </c>
      <c r="B22" s="4" t="s">
        <v>80</v>
      </c>
      <c r="C22" s="4" t="s">
        <v>65</v>
      </c>
      <c r="D22" s="4" t="s">
        <v>66</v>
      </c>
      <c r="E22" s="4" t="s">
        <v>67</v>
      </c>
      <c r="F22" s="4" t="s">
        <v>68</v>
      </c>
      <c r="G22" s="4" t="s">
        <v>69</v>
      </c>
    </row>
    <row r="23" spans="1:14" ht="15.95" customHeight="1" x14ac:dyDescent="0.25">
      <c r="A23" s="32"/>
      <c r="B23" s="38" t="s">
        <v>122</v>
      </c>
      <c r="C23" s="38" t="s">
        <v>66</v>
      </c>
      <c r="D23" s="25" t="s">
        <v>120</v>
      </c>
      <c r="E23" s="25" t="s">
        <v>121</v>
      </c>
      <c r="F23" s="25" t="s">
        <v>77</v>
      </c>
      <c r="G23" s="28" t="s">
        <v>108</v>
      </c>
    </row>
    <row r="24" spans="1:14" ht="15.95" customHeight="1" x14ac:dyDescent="0.25">
      <c r="A24" s="32" t="s">
        <v>29</v>
      </c>
      <c r="B24" s="4" t="s">
        <v>79</v>
      </c>
      <c r="C24" s="4" t="s">
        <v>78</v>
      </c>
      <c r="D24" s="4" t="s">
        <v>76</v>
      </c>
      <c r="E24" s="4" t="s">
        <v>77</v>
      </c>
      <c r="F24" s="4" t="s">
        <v>74</v>
      </c>
      <c r="G24" s="4" t="s">
        <v>68</v>
      </c>
      <c r="H24" s="4" t="s">
        <v>75</v>
      </c>
    </row>
    <row r="25" spans="1:14" ht="15.95" customHeight="1" x14ac:dyDescent="0.25">
      <c r="A25" s="32"/>
      <c r="B25" s="38" t="s">
        <v>79</v>
      </c>
      <c r="C25" s="38" t="s">
        <v>65</v>
      </c>
      <c r="D25" s="38" t="s">
        <v>66</v>
      </c>
      <c r="E25" s="38" t="s">
        <v>77</v>
      </c>
      <c r="F25" s="27" t="s">
        <v>108</v>
      </c>
    </row>
    <row r="26" spans="1:14" ht="15.95" customHeight="1" x14ac:dyDescent="0.25">
      <c r="A26" s="32" t="s">
        <v>62</v>
      </c>
      <c r="B26" s="4" t="s">
        <v>79</v>
      </c>
      <c r="C26" s="4" t="s">
        <v>78</v>
      </c>
      <c r="D26" s="4" t="s">
        <v>74</v>
      </c>
      <c r="E26" s="4" t="s">
        <v>68</v>
      </c>
      <c r="F26" s="4" t="s">
        <v>75</v>
      </c>
      <c r="G26" s="4" t="s">
        <v>76</v>
      </c>
      <c r="H26" s="4" t="s">
        <v>77</v>
      </c>
    </row>
    <row r="28" spans="1:14" s="3" customFormat="1" ht="15.95" customHeight="1" x14ac:dyDescent="0.25">
      <c r="A28" s="31" t="s">
        <v>59</v>
      </c>
    </row>
    <row r="29" spans="1:14" ht="15.95" customHeight="1" x14ac:dyDescent="0.25">
      <c r="A29" s="32" t="s">
        <v>3</v>
      </c>
    </row>
    <row r="30" spans="1:14" ht="15.95" customHeight="1" x14ac:dyDescent="0.25">
      <c r="A30" s="34" t="s">
        <v>19</v>
      </c>
      <c r="B30" s="4" t="s">
        <v>81</v>
      </c>
      <c r="C30" s="4" t="s">
        <v>79</v>
      </c>
      <c r="D30" s="4" t="s">
        <v>80</v>
      </c>
      <c r="E30" s="4" t="s">
        <v>91</v>
      </c>
      <c r="F30" s="4" t="s">
        <v>65</v>
      </c>
      <c r="G30" s="4" t="s">
        <v>66</v>
      </c>
      <c r="H30" s="4" t="s">
        <v>77</v>
      </c>
      <c r="I30" s="4" t="s">
        <v>67</v>
      </c>
      <c r="J30" s="4" t="s">
        <v>74</v>
      </c>
      <c r="K30" s="4" t="s">
        <v>68</v>
      </c>
      <c r="L30" s="4" t="s">
        <v>75</v>
      </c>
      <c r="M30" s="4" t="s">
        <v>69</v>
      </c>
      <c r="N30" s="4" t="s">
        <v>92</v>
      </c>
    </row>
    <row r="31" spans="1:14" ht="15.95" customHeight="1" x14ac:dyDescent="0.25">
      <c r="A31" s="34"/>
      <c r="B31" s="38" t="s">
        <v>123</v>
      </c>
      <c r="C31" s="40" t="s">
        <v>79</v>
      </c>
      <c r="D31" s="38" t="s">
        <v>65</v>
      </c>
      <c r="E31" s="38" t="s">
        <v>66</v>
      </c>
      <c r="F31" s="38" t="s">
        <v>77</v>
      </c>
      <c r="G31" s="19"/>
    </row>
    <row r="32" spans="1:14" ht="15.95" customHeight="1" x14ac:dyDescent="0.25">
      <c r="A32" s="34" t="s">
        <v>28</v>
      </c>
      <c r="B32" s="4" t="s">
        <v>96</v>
      </c>
    </row>
    <row r="33" spans="1:8" ht="15.95" customHeight="1" x14ac:dyDescent="0.25">
      <c r="A33" s="34"/>
      <c r="B33" s="38" t="s">
        <v>124</v>
      </c>
      <c r="C33" s="38" t="s">
        <v>66</v>
      </c>
      <c r="D33" s="25" t="s">
        <v>79</v>
      </c>
      <c r="E33" s="25" t="s">
        <v>77</v>
      </c>
      <c r="F33" s="41" t="s">
        <v>108</v>
      </c>
    </row>
    <row r="34" spans="1:8" ht="15.95" customHeight="1" x14ac:dyDescent="0.25">
      <c r="A34" s="42" t="s">
        <v>29</v>
      </c>
    </row>
    <row r="35" spans="1:8" ht="15.95" customHeight="1" x14ac:dyDescent="0.25">
      <c r="A35" s="43" t="s">
        <v>62</v>
      </c>
    </row>
    <row r="36" spans="1:8" ht="15.95" customHeight="1" x14ac:dyDescent="0.25">
      <c r="A36" s="36" t="s">
        <v>64</v>
      </c>
      <c r="B36" s="4">
        <v>41</v>
      </c>
    </row>
    <row r="37" spans="1:8" ht="15.95" customHeight="1" x14ac:dyDescent="0.25">
      <c r="A37" s="32" t="s">
        <v>46</v>
      </c>
      <c r="B37" s="4" t="s">
        <v>80</v>
      </c>
      <c r="C37" s="4" t="s">
        <v>65</v>
      </c>
      <c r="D37" s="4" t="s">
        <v>66</v>
      </c>
      <c r="E37" s="4" t="s">
        <v>67</v>
      </c>
      <c r="F37" s="4" t="s">
        <v>68</v>
      </c>
      <c r="G37" s="4" t="s">
        <v>69</v>
      </c>
      <c r="H37" s="24" t="s">
        <v>71</v>
      </c>
    </row>
    <row r="39" spans="1:8" ht="15.95" customHeight="1" x14ac:dyDescent="0.25">
      <c r="A39" s="32" t="s">
        <v>63</v>
      </c>
      <c r="B39" s="4">
        <v>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860-AF6F-4CCB-B3E1-929D496DD413}">
  <dimension ref="A1:G36"/>
  <sheetViews>
    <sheetView workbookViewId="0">
      <selection activeCell="D6" sqref="D6"/>
    </sheetView>
  </sheetViews>
  <sheetFormatPr defaultColWidth="24.7109375" defaultRowHeight="15" x14ac:dyDescent="0.25"/>
  <cols>
    <col min="1" max="16384" width="24.7109375" style="44"/>
  </cols>
  <sheetData>
    <row r="1" spans="1:7" x14ac:dyDescent="0.25">
      <c r="A1" s="44" t="s">
        <v>218</v>
      </c>
      <c r="B1" s="44" t="s">
        <v>219</v>
      </c>
      <c r="C1" s="44" t="s">
        <v>220</v>
      </c>
      <c r="D1" s="44" t="s">
        <v>221</v>
      </c>
      <c r="E1" s="44" t="s">
        <v>222</v>
      </c>
      <c r="F1" s="44" t="s">
        <v>223</v>
      </c>
      <c r="G1" s="44" t="s">
        <v>224</v>
      </c>
    </row>
    <row r="2" spans="1:7" x14ac:dyDescent="0.25">
      <c r="B2" s="44" t="s">
        <v>225</v>
      </c>
      <c r="C2" s="44" t="s">
        <v>217</v>
      </c>
      <c r="D2" s="44" t="s">
        <v>226</v>
      </c>
      <c r="F2" s="44" t="s">
        <v>227</v>
      </c>
    </row>
    <row r="3" spans="1:7" x14ac:dyDescent="0.25">
      <c r="A3" s="44" t="s">
        <v>127</v>
      </c>
      <c r="B3" s="44" t="s">
        <v>228</v>
      </c>
      <c r="C3" s="44" t="s">
        <v>216</v>
      </c>
      <c r="D3" s="44" t="s">
        <v>229</v>
      </c>
      <c r="E3" s="44" t="s">
        <v>127</v>
      </c>
      <c r="F3" s="44" t="s">
        <v>199</v>
      </c>
      <c r="G3" s="44" t="s">
        <v>127</v>
      </c>
    </row>
    <row r="4" spans="1:7" x14ac:dyDescent="0.25">
      <c r="A4" s="44" t="s">
        <v>128</v>
      </c>
      <c r="B4" s="44" t="s">
        <v>230</v>
      </c>
      <c r="C4" s="44" t="s">
        <v>231</v>
      </c>
      <c r="D4" s="44" t="s">
        <v>233</v>
      </c>
      <c r="E4" s="44" t="s">
        <v>191</v>
      </c>
      <c r="G4" s="44" t="s">
        <v>208</v>
      </c>
    </row>
    <row r="5" spans="1:7" x14ac:dyDescent="0.25">
      <c r="A5" s="44" t="s">
        <v>129</v>
      </c>
      <c r="C5" s="44" t="s">
        <v>232</v>
      </c>
      <c r="D5" s="44" t="s">
        <v>234</v>
      </c>
      <c r="F5" s="44" t="s">
        <v>127</v>
      </c>
      <c r="G5" s="44" t="s">
        <v>209</v>
      </c>
    </row>
    <row r="6" spans="1:7" x14ac:dyDescent="0.25">
      <c r="B6" s="44" t="s">
        <v>127</v>
      </c>
      <c r="E6" s="44" t="s">
        <v>130</v>
      </c>
      <c r="F6" s="44" t="s">
        <v>191</v>
      </c>
    </row>
    <row r="7" spans="1:7" x14ac:dyDescent="0.25">
      <c r="A7" s="44" t="s">
        <v>130</v>
      </c>
      <c r="B7" s="44" t="s">
        <v>143</v>
      </c>
      <c r="C7" s="44" t="s">
        <v>127</v>
      </c>
      <c r="D7" s="44" t="s">
        <v>127</v>
      </c>
      <c r="E7" s="44" t="s">
        <v>192</v>
      </c>
      <c r="G7" s="44" t="s">
        <v>130</v>
      </c>
    </row>
    <row r="8" spans="1:7" x14ac:dyDescent="0.25">
      <c r="A8" s="44" t="s">
        <v>131</v>
      </c>
      <c r="B8" s="44" t="s">
        <v>144</v>
      </c>
      <c r="C8" s="44" t="s">
        <v>157</v>
      </c>
      <c r="D8" s="44" t="s">
        <v>157</v>
      </c>
      <c r="E8" s="44" t="s">
        <v>193</v>
      </c>
      <c r="F8" s="44" t="s">
        <v>130</v>
      </c>
      <c r="G8" s="44" t="s">
        <v>210</v>
      </c>
    </row>
    <row r="9" spans="1:7" x14ac:dyDescent="0.25">
      <c r="A9" s="44" t="s">
        <v>132</v>
      </c>
      <c r="C9" s="44" t="s">
        <v>158</v>
      </c>
      <c r="D9" s="44" t="s">
        <v>175</v>
      </c>
      <c r="F9" s="44" t="s">
        <v>192</v>
      </c>
      <c r="G9" s="44" t="s">
        <v>211</v>
      </c>
    </row>
    <row r="10" spans="1:7" x14ac:dyDescent="0.25">
      <c r="B10" s="44" t="s">
        <v>130</v>
      </c>
      <c r="E10" s="44" t="s">
        <v>133</v>
      </c>
      <c r="F10" s="44" t="s">
        <v>200</v>
      </c>
    </row>
    <row r="11" spans="1:7" x14ac:dyDescent="0.25">
      <c r="A11" s="44" t="s">
        <v>133</v>
      </c>
      <c r="B11" s="44" t="s">
        <v>145</v>
      </c>
      <c r="C11" s="44" t="s">
        <v>130</v>
      </c>
      <c r="D11" s="44" t="s">
        <v>130</v>
      </c>
      <c r="E11" s="44" t="s">
        <v>134</v>
      </c>
      <c r="G11" s="44" t="s">
        <v>133</v>
      </c>
    </row>
    <row r="12" spans="1:7" x14ac:dyDescent="0.25">
      <c r="A12" s="44" t="s">
        <v>134</v>
      </c>
      <c r="B12" s="44" t="s">
        <v>146</v>
      </c>
      <c r="C12" s="44" t="s">
        <v>159</v>
      </c>
      <c r="D12" s="44" t="s">
        <v>176</v>
      </c>
      <c r="E12" s="44" t="s">
        <v>194</v>
      </c>
      <c r="F12" s="44" t="s">
        <v>133</v>
      </c>
      <c r="G12" s="44" t="s">
        <v>212</v>
      </c>
    </row>
    <row r="13" spans="1:7" x14ac:dyDescent="0.25">
      <c r="A13" s="44" t="s">
        <v>131</v>
      </c>
      <c r="C13" s="44" t="s">
        <v>160</v>
      </c>
      <c r="D13" s="44" t="s">
        <v>177</v>
      </c>
      <c r="E13" s="44" t="s">
        <v>195</v>
      </c>
      <c r="F13" s="44" t="s">
        <v>134</v>
      </c>
      <c r="G13" s="44" t="s">
        <v>213</v>
      </c>
    </row>
    <row r="14" spans="1:7" x14ac:dyDescent="0.25">
      <c r="A14" s="44" t="s">
        <v>135</v>
      </c>
      <c r="B14" s="44" t="s">
        <v>133</v>
      </c>
      <c r="C14" s="44" t="s">
        <v>161</v>
      </c>
      <c r="F14" s="44" t="s">
        <v>201</v>
      </c>
      <c r="G14" s="44" t="s">
        <v>214</v>
      </c>
    </row>
    <row r="15" spans="1:7" x14ac:dyDescent="0.25">
      <c r="A15" s="44" t="s">
        <v>136</v>
      </c>
      <c r="B15" s="44" t="s">
        <v>145</v>
      </c>
      <c r="D15" s="44" t="s">
        <v>133</v>
      </c>
      <c r="E15" s="44" t="s">
        <v>196</v>
      </c>
      <c r="F15" s="44" t="s">
        <v>202</v>
      </c>
      <c r="G15" s="44" t="s">
        <v>215</v>
      </c>
    </row>
    <row r="16" spans="1:7" x14ac:dyDescent="0.25">
      <c r="B16" s="44" t="s">
        <v>147</v>
      </c>
      <c r="C16" s="44" t="s">
        <v>133</v>
      </c>
      <c r="D16" s="44" t="s">
        <v>178</v>
      </c>
      <c r="E16" s="44" t="s">
        <v>197</v>
      </c>
      <c r="F16" s="44" t="s">
        <v>203</v>
      </c>
    </row>
    <row r="17" spans="1:6" x14ac:dyDescent="0.25">
      <c r="A17" s="44" t="s">
        <v>137</v>
      </c>
      <c r="B17" s="44" t="s">
        <v>148</v>
      </c>
      <c r="C17" s="44" t="s">
        <v>162</v>
      </c>
      <c r="D17" s="44" t="s">
        <v>179</v>
      </c>
      <c r="E17" s="44" t="s">
        <v>198</v>
      </c>
    </row>
    <row r="18" spans="1:6" x14ac:dyDescent="0.25">
      <c r="A18" s="44" t="s">
        <v>138</v>
      </c>
      <c r="C18" s="44" t="s">
        <v>163</v>
      </c>
      <c r="D18" s="44" t="s">
        <v>180</v>
      </c>
      <c r="F18" s="44" t="s">
        <v>204</v>
      </c>
    </row>
    <row r="19" spans="1:6" x14ac:dyDescent="0.25">
      <c r="A19" s="44" t="s">
        <v>139</v>
      </c>
      <c r="B19" s="44" t="s">
        <v>134</v>
      </c>
      <c r="C19" s="44" t="s">
        <v>164</v>
      </c>
      <c r="D19" s="44" t="s">
        <v>181</v>
      </c>
      <c r="F19" s="44" t="s">
        <v>205</v>
      </c>
    </row>
    <row r="20" spans="1:6" x14ac:dyDescent="0.25">
      <c r="A20" s="44" t="s">
        <v>140</v>
      </c>
      <c r="B20" s="44" t="s">
        <v>149</v>
      </c>
      <c r="C20" s="44" t="s">
        <v>165</v>
      </c>
      <c r="F20" s="44" t="s">
        <v>206</v>
      </c>
    </row>
    <row r="21" spans="1:6" x14ac:dyDescent="0.25">
      <c r="A21" s="44" t="s">
        <v>141</v>
      </c>
      <c r="B21" s="44" t="s">
        <v>147</v>
      </c>
      <c r="D21" s="44" t="s">
        <v>134</v>
      </c>
      <c r="F21" s="44" t="s">
        <v>197</v>
      </c>
    </row>
    <row r="22" spans="1:6" x14ac:dyDescent="0.25">
      <c r="A22" s="44" t="s">
        <v>142</v>
      </c>
      <c r="B22" s="44" t="s">
        <v>150</v>
      </c>
      <c r="C22" s="44" t="s">
        <v>134</v>
      </c>
      <c r="D22" s="44" t="s">
        <v>178</v>
      </c>
      <c r="F22" s="44" t="s">
        <v>207</v>
      </c>
    </row>
    <row r="23" spans="1:6" x14ac:dyDescent="0.25">
      <c r="B23" s="44" t="s">
        <v>151</v>
      </c>
      <c r="C23" s="44" t="s">
        <v>162</v>
      </c>
      <c r="D23" s="44" t="s">
        <v>190</v>
      </c>
    </row>
    <row r="24" spans="1:6" x14ac:dyDescent="0.25">
      <c r="C24" s="44" t="s">
        <v>163</v>
      </c>
      <c r="D24" s="44" t="s">
        <v>182</v>
      </c>
    </row>
    <row r="25" spans="1:6" x14ac:dyDescent="0.25">
      <c r="B25" s="44" t="s">
        <v>152</v>
      </c>
      <c r="C25" s="44" t="s">
        <v>164</v>
      </c>
      <c r="D25" s="44" t="s">
        <v>183</v>
      </c>
    </row>
    <row r="26" spans="1:6" x14ac:dyDescent="0.25">
      <c r="B26" s="44" t="s">
        <v>153</v>
      </c>
      <c r="C26" s="44" t="s">
        <v>166</v>
      </c>
    </row>
    <row r="27" spans="1:6" x14ac:dyDescent="0.25">
      <c r="B27" s="44" t="s">
        <v>154</v>
      </c>
      <c r="D27" s="44" t="s">
        <v>184</v>
      </c>
    </row>
    <row r="28" spans="1:6" x14ac:dyDescent="0.25">
      <c r="B28" s="44" t="s">
        <v>155</v>
      </c>
      <c r="C28" s="44" t="s">
        <v>167</v>
      </c>
      <c r="D28" s="44" t="s">
        <v>185</v>
      </c>
    </row>
    <row r="29" spans="1:6" x14ac:dyDescent="0.25">
      <c r="B29" s="44" t="s">
        <v>141</v>
      </c>
      <c r="C29" s="44" t="s">
        <v>168</v>
      </c>
      <c r="D29" s="44" t="s">
        <v>186</v>
      </c>
    </row>
    <row r="30" spans="1:6" x14ac:dyDescent="0.25">
      <c r="B30" s="44" t="s">
        <v>156</v>
      </c>
      <c r="C30" s="44" t="s">
        <v>169</v>
      </c>
      <c r="D30" s="44" t="s">
        <v>187</v>
      </c>
    </row>
    <row r="31" spans="1:6" x14ac:dyDescent="0.25">
      <c r="C31" s="44" t="s">
        <v>170</v>
      </c>
      <c r="D31" s="44" t="s">
        <v>188</v>
      </c>
    </row>
    <row r="32" spans="1:6" x14ac:dyDescent="0.25">
      <c r="C32" s="44" t="s">
        <v>171</v>
      </c>
      <c r="D32" s="44" t="s">
        <v>141</v>
      </c>
    </row>
    <row r="33" spans="3:4" x14ac:dyDescent="0.25">
      <c r="C33" s="44" t="s">
        <v>168</v>
      </c>
      <c r="D33" s="44" t="s">
        <v>189</v>
      </c>
    </row>
    <row r="34" spans="3:4" x14ac:dyDescent="0.25">
      <c r="C34" s="44" t="s">
        <v>172</v>
      </c>
    </row>
    <row r="35" spans="3:4" x14ac:dyDescent="0.25">
      <c r="C35" s="44" t="s">
        <v>173</v>
      </c>
    </row>
    <row r="36" spans="3:4" x14ac:dyDescent="0.25">
      <c r="C36" s="44" t="s">
        <v>174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D2F2-50F6-4D3C-9E23-B60F2BC84E68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33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 t="s">
        <v>44</v>
      </c>
      <c r="K4" s="14">
        <v>33</v>
      </c>
      <c r="L4" s="14">
        <v>33</v>
      </c>
      <c r="M4" s="5">
        <v>30</v>
      </c>
    </row>
    <row r="5" spans="1:13" ht="24" customHeight="1" x14ac:dyDescent="0.25">
      <c r="A5" s="7"/>
      <c r="B5" s="1"/>
      <c r="C5" s="4" t="s">
        <v>0</v>
      </c>
      <c r="D5" s="4" t="s">
        <v>3</v>
      </c>
      <c r="E5" s="4" t="s">
        <v>1</v>
      </c>
      <c r="H5" s="4" t="s">
        <v>3</v>
      </c>
      <c r="I5" s="4" t="s">
        <v>4</v>
      </c>
      <c r="J5" s="4" t="s">
        <v>0</v>
      </c>
      <c r="K5" s="19" t="s">
        <v>2</v>
      </c>
      <c r="L5" s="19" t="s">
        <v>6</v>
      </c>
      <c r="M5" s="4" t="s">
        <v>1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20" t="s">
        <v>3</v>
      </c>
      <c r="I7" s="20"/>
      <c r="J7" s="20"/>
      <c r="K7" s="20"/>
      <c r="L7" s="20"/>
      <c r="M7" s="20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20" t="s">
        <v>28</v>
      </c>
      <c r="I8" s="20" t="s">
        <v>6</v>
      </c>
      <c r="J8" s="20" t="s">
        <v>3</v>
      </c>
      <c r="K8" s="20"/>
      <c r="L8" s="20"/>
      <c r="M8" s="20"/>
    </row>
    <row r="9" spans="1:13" ht="24" customHeight="1" x14ac:dyDescent="0.25">
      <c r="A9" s="7">
        <v>10</v>
      </c>
      <c r="B9" s="1"/>
      <c r="C9" s="7">
        <v>10</v>
      </c>
      <c r="F9" s="8"/>
      <c r="H9" s="20" t="s">
        <v>54</v>
      </c>
      <c r="I9" s="20" t="s">
        <v>50</v>
      </c>
      <c r="J9" s="20" t="s">
        <v>55</v>
      </c>
      <c r="K9" s="21"/>
      <c r="L9" s="20"/>
      <c r="M9" s="20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20"/>
      <c r="I10" s="20"/>
      <c r="J10" s="20"/>
      <c r="K10" s="20"/>
      <c r="L10" s="20"/>
      <c r="M10" s="20"/>
    </row>
    <row r="11" spans="1:13" ht="24" customHeight="1" x14ac:dyDescent="0.25">
      <c r="A11" s="7"/>
      <c r="B11" s="1"/>
      <c r="C11" s="8"/>
      <c r="D11" s="8"/>
      <c r="E11" s="8"/>
      <c r="F11" s="8"/>
      <c r="H11" s="21"/>
      <c r="I11" s="20"/>
      <c r="J11" s="20"/>
      <c r="K11" s="21"/>
      <c r="L11" s="20"/>
      <c r="M11" s="20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33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0</v>
      </c>
      <c r="D14" s="4" t="s">
        <v>3</v>
      </c>
      <c r="E14" s="4" t="s">
        <v>1</v>
      </c>
      <c r="H14" s="4" t="s">
        <v>3</v>
      </c>
      <c r="I14" s="4" t="s">
        <v>0</v>
      </c>
      <c r="J14" s="4" t="s">
        <v>1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37</v>
      </c>
    </row>
  </sheetData>
  <conditionalFormatting sqref="A2:A4">
    <cfRule type="cellIs" dxfId="41" priority="4" operator="notEqual">
      <formula>100</formula>
    </cfRule>
  </conditionalFormatting>
  <conditionalFormatting sqref="A15:A17">
    <cfRule type="cellIs" dxfId="40" priority="1" operator="not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B7A-7A55-4616-A69C-D40F8A1E6F3A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4" ht="24" customHeight="1" x14ac:dyDescent="0.25">
      <c r="A1" s="45"/>
      <c r="B1" s="1"/>
      <c r="C1" s="1"/>
      <c r="D1" s="13"/>
      <c r="E1" s="1">
        <v>25</v>
      </c>
      <c r="F1" s="1"/>
      <c r="H1" s="2"/>
      <c r="I1" s="2"/>
      <c r="J1" s="1"/>
      <c r="K1" s="1"/>
      <c r="L1" s="2"/>
      <c r="M1" s="2"/>
    </row>
    <row r="2" spans="1:14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  <c r="N2" s="3">
        <v>5</v>
      </c>
    </row>
    <row r="3" spans="1:14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  <c r="N3" s="3">
        <v>10</v>
      </c>
    </row>
    <row r="4" spans="1:14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>
        <v>100</v>
      </c>
      <c r="K4" s="5">
        <v>50</v>
      </c>
      <c r="L4" s="5">
        <v>50</v>
      </c>
      <c r="M4" s="5"/>
      <c r="N4" s="3">
        <v>15</v>
      </c>
    </row>
    <row r="5" spans="1:14" ht="24" customHeight="1" x14ac:dyDescent="0.25">
      <c r="A5" s="7"/>
      <c r="B5" s="1"/>
      <c r="C5" s="4" t="s">
        <v>4</v>
      </c>
      <c r="D5" s="4" t="s">
        <v>3</v>
      </c>
      <c r="E5" s="4" t="s">
        <v>5</v>
      </c>
      <c r="H5" s="4" t="s">
        <v>3</v>
      </c>
      <c r="I5" s="4" t="s">
        <v>4</v>
      </c>
      <c r="J5" s="4" t="s">
        <v>0</v>
      </c>
      <c r="K5" s="4" t="s">
        <v>6</v>
      </c>
      <c r="L5" s="4" t="s">
        <v>7</v>
      </c>
    </row>
    <row r="6" spans="1:14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4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4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4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4" ht="24" customHeight="1" x14ac:dyDescent="0.25">
      <c r="A10" s="7">
        <v>10</v>
      </c>
      <c r="B10" s="1"/>
      <c r="C10" s="8"/>
      <c r="D10" s="8"/>
      <c r="E10" s="8">
        <v>10</v>
      </c>
      <c r="H10" s="8"/>
      <c r="I10" s="8"/>
      <c r="J10" s="8"/>
      <c r="K10" s="8"/>
      <c r="L10" s="8"/>
      <c r="M10" s="8"/>
    </row>
    <row r="11" spans="1:14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4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4" s="3" customFormat="1" ht="24" customHeight="1" x14ac:dyDescent="0.25">
      <c r="C13" s="13"/>
      <c r="D13" s="13"/>
      <c r="E13" s="1">
        <v>25</v>
      </c>
      <c r="F13" s="1"/>
      <c r="H13" s="1"/>
      <c r="I13" s="1"/>
      <c r="J13" s="1"/>
      <c r="K13" s="1"/>
      <c r="L13" s="1"/>
      <c r="M13" s="1"/>
    </row>
    <row r="14" spans="1:14" ht="24" customHeight="1" x14ac:dyDescent="0.25">
      <c r="C14" s="4" t="s">
        <v>4</v>
      </c>
      <c r="D14" s="4" t="s">
        <v>3</v>
      </c>
      <c r="E14" s="4" t="s">
        <v>5</v>
      </c>
      <c r="H14" s="4" t="s">
        <v>3</v>
      </c>
      <c r="I14" s="4" t="s">
        <v>4</v>
      </c>
      <c r="J14" s="4" t="s">
        <v>5</v>
      </c>
    </row>
    <row r="15" spans="1:14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  <c r="N15" s="3">
        <v>10</v>
      </c>
    </row>
    <row r="16" spans="1:14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  <c r="N16" s="3">
        <v>20</v>
      </c>
    </row>
    <row r="17" spans="1:14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  <c r="N17" s="3">
        <v>40</v>
      </c>
    </row>
    <row r="19" spans="1:14" ht="24" customHeight="1" x14ac:dyDescent="0.25">
      <c r="C19" s="4" t="s">
        <v>38</v>
      </c>
    </row>
  </sheetData>
  <conditionalFormatting sqref="A2:A4">
    <cfRule type="cellIs" dxfId="39" priority="4" operator="notEqual">
      <formula>100</formula>
    </cfRule>
  </conditionalFormatting>
  <conditionalFormatting sqref="A15:A17">
    <cfRule type="cellIs" dxfId="38" priority="1" operator="notEqual">
      <formula>100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8D13-64F7-4483-AEB0-117D714E2ECA}">
  <dimension ref="A1:N20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4" ht="24" customHeight="1" x14ac:dyDescent="0.25">
      <c r="A1" s="45"/>
      <c r="B1" s="1"/>
      <c r="C1" s="1"/>
      <c r="D1" s="1"/>
      <c r="E1" s="1">
        <v>33</v>
      </c>
      <c r="F1" s="1"/>
      <c r="H1" s="2">
        <v>5</v>
      </c>
      <c r="I1" s="2">
        <v>10</v>
      </c>
      <c r="J1" s="1">
        <v>10</v>
      </c>
      <c r="K1" s="13" t="s">
        <v>16</v>
      </c>
      <c r="L1" s="2" t="s">
        <v>17</v>
      </c>
      <c r="M1" s="2">
        <v>25</v>
      </c>
    </row>
    <row r="2" spans="1:14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4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4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/>
      <c r="K4" s="5" t="s">
        <v>14</v>
      </c>
      <c r="L4" s="5" t="s">
        <v>15</v>
      </c>
      <c r="M4" s="5">
        <v>10</v>
      </c>
    </row>
    <row r="5" spans="1:14" ht="24" customHeight="1" x14ac:dyDescent="0.25">
      <c r="A5" s="7"/>
      <c r="B5" s="1"/>
      <c r="C5" s="4" t="s">
        <v>3</v>
      </c>
      <c r="D5" s="4" t="s">
        <v>0</v>
      </c>
      <c r="E5" s="4" t="s">
        <v>1</v>
      </c>
      <c r="H5" s="4" t="s">
        <v>3</v>
      </c>
      <c r="I5" s="4" t="s">
        <v>4</v>
      </c>
      <c r="J5" s="4" t="s">
        <v>0</v>
      </c>
      <c r="K5" s="15" t="s">
        <v>12</v>
      </c>
      <c r="L5" s="15" t="s">
        <v>11</v>
      </c>
      <c r="M5" s="4" t="s">
        <v>13</v>
      </c>
    </row>
    <row r="6" spans="1:14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4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4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4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4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4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4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4" s="3" customFormat="1" ht="24" customHeight="1" x14ac:dyDescent="0.25">
      <c r="C13" s="13"/>
      <c r="D13" s="13"/>
      <c r="E13" s="1">
        <v>33</v>
      </c>
      <c r="F13" s="1"/>
      <c r="H13" s="1"/>
      <c r="I13" s="1"/>
      <c r="J13" s="1"/>
      <c r="K13" s="1"/>
      <c r="L13" s="1"/>
      <c r="M13" s="1"/>
    </row>
    <row r="14" spans="1:14" ht="24" customHeight="1" x14ac:dyDescent="0.25">
      <c r="C14" s="4" t="s">
        <v>125</v>
      </c>
      <c r="D14" s="4" t="s">
        <v>0</v>
      </c>
      <c r="E14" s="4" t="s">
        <v>1</v>
      </c>
      <c r="F14" s="4" t="s">
        <v>46</v>
      </c>
      <c r="H14" s="4" t="s">
        <v>3</v>
      </c>
      <c r="I14" s="4" t="s">
        <v>0</v>
      </c>
      <c r="J14" s="4" t="s">
        <v>1</v>
      </c>
    </row>
    <row r="15" spans="1:14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>
        <v>85</v>
      </c>
      <c r="I15" s="10">
        <v>15</v>
      </c>
      <c r="J15" s="9"/>
      <c r="K15" s="9"/>
      <c r="L15" s="9"/>
      <c r="M15" s="9"/>
      <c r="N15" s="3">
        <v>10</v>
      </c>
    </row>
    <row r="16" spans="1:14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  <c r="N16" s="3">
        <v>20</v>
      </c>
    </row>
    <row r="17" spans="1:14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  <c r="N17" s="3">
        <v>40</v>
      </c>
    </row>
    <row r="19" spans="1:14" ht="24" customHeight="1" x14ac:dyDescent="0.25">
      <c r="C19" s="4" t="s">
        <v>37</v>
      </c>
    </row>
    <row r="20" spans="1:14" ht="24" customHeight="1" x14ac:dyDescent="0.25">
      <c r="C20" s="4" t="s">
        <v>39</v>
      </c>
    </row>
  </sheetData>
  <conditionalFormatting sqref="A2:A4">
    <cfRule type="cellIs" dxfId="37" priority="2" operator="notEqual">
      <formula>100</formula>
    </cfRule>
  </conditionalFormatting>
  <conditionalFormatting sqref="A15:A17">
    <cfRule type="cellIs" dxfId="36" priority="1" operator="notEqual">
      <formula>100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D1D9-7F47-4B60-9362-1EE6F8233A7C}">
  <dimension ref="A1:N20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3"/>
      <c r="E1" s="1">
        <v>37</v>
      </c>
      <c r="F1" s="1"/>
      <c r="H1" s="2">
        <v>5</v>
      </c>
      <c r="I1" s="2">
        <v>10</v>
      </c>
      <c r="J1" s="1">
        <v>10</v>
      </c>
      <c r="K1" s="13" t="s">
        <v>24</v>
      </c>
      <c r="L1" s="16" t="s">
        <v>25</v>
      </c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>
        <v>25</v>
      </c>
      <c r="I4" s="6"/>
      <c r="J4" s="5">
        <v>25</v>
      </c>
      <c r="K4" s="5" t="s">
        <v>22</v>
      </c>
      <c r="L4" s="5" t="s">
        <v>23</v>
      </c>
      <c r="M4" s="5"/>
    </row>
    <row r="5" spans="1:13" ht="24" customHeight="1" x14ac:dyDescent="0.25">
      <c r="A5" s="7"/>
      <c r="B5" s="1"/>
      <c r="C5" s="4" t="s">
        <v>19</v>
      </c>
      <c r="D5" s="4" t="s">
        <v>10</v>
      </c>
      <c r="E5" s="4" t="s">
        <v>18</v>
      </c>
      <c r="H5" s="4" t="s">
        <v>3</v>
      </c>
      <c r="I5" s="4" t="s">
        <v>4</v>
      </c>
      <c r="J5" s="4" t="s">
        <v>0</v>
      </c>
      <c r="K5" s="15" t="s">
        <v>20</v>
      </c>
      <c r="L5" s="15" t="s">
        <v>21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37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19</v>
      </c>
      <c r="D14" s="4" t="s">
        <v>10</v>
      </c>
      <c r="E14" s="4" t="s">
        <v>18</v>
      </c>
      <c r="F14" s="4" t="s">
        <v>60</v>
      </c>
      <c r="H14" s="4" t="s">
        <v>3</v>
      </c>
      <c r="I14" s="4" t="s">
        <v>19</v>
      </c>
      <c r="J14" s="4" t="s">
        <v>27</v>
      </c>
    </row>
    <row r="15" spans="1:13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40</v>
      </c>
    </row>
    <row r="20" spans="1:13" ht="24" customHeight="1" x14ac:dyDescent="0.25">
      <c r="C20" s="4" t="s">
        <v>238</v>
      </c>
    </row>
  </sheetData>
  <conditionalFormatting sqref="A2:A4">
    <cfRule type="cellIs" dxfId="35" priority="4" operator="notEqual">
      <formula>100</formula>
    </cfRule>
  </conditionalFormatting>
  <conditionalFormatting sqref="A15:A17">
    <cfRule type="cellIs" dxfId="34" priority="1" operator="notEqual">
      <formula>100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7AFC8-DB70-43C3-967D-3D1DC229D355}">
  <dimension ref="A1:N19"/>
  <sheetViews>
    <sheetView workbookViewId="0">
      <selection activeCell="E19" sqref="E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4" ht="24" customHeight="1" x14ac:dyDescent="0.25">
      <c r="A1" s="45"/>
      <c r="B1" s="1"/>
      <c r="C1" s="13" t="s">
        <v>239</v>
      </c>
      <c r="D1" s="1" t="s">
        <v>240</v>
      </c>
      <c r="E1" s="1" t="s">
        <v>240</v>
      </c>
      <c r="F1" s="1"/>
      <c r="H1" s="2">
        <v>5</v>
      </c>
      <c r="I1" s="2">
        <v>10</v>
      </c>
      <c r="J1" s="1">
        <v>10</v>
      </c>
      <c r="K1" s="13" t="s">
        <v>35</v>
      </c>
      <c r="L1" s="2">
        <v>20</v>
      </c>
      <c r="M1" s="2">
        <v>30</v>
      </c>
    </row>
    <row r="2" spans="1:14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  <c r="N2" s="17">
        <v>5</v>
      </c>
    </row>
    <row r="3" spans="1:14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  <c r="N3" s="17">
        <v>10</v>
      </c>
    </row>
    <row r="4" spans="1:14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>
        <v>25</v>
      </c>
      <c r="K4" s="5" t="s">
        <v>32</v>
      </c>
      <c r="L4" s="5" t="s">
        <v>23</v>
      </c>
      <c r="M4" s="5" t="s">
        <v>33</v>
      </c>
      <c r="N4" s="17">
        <v>15</v>
      </c>
    </row>
    <row r="5" spans="1:14" ht="24" customHeight="1" x14ac:dyDescent="0.25">
      <c r="A5" s="7"/>
      <c r="B5" s="1"/>
      <c r="C5" s="4" t="s">
        <v>19</v>
      </c>
      <c r="D5" s="4" t="s">
        <v>28</v>
      </c>
      <c r="E5" s="4" t="s">
        <v>29</v>
      </c>
      <c r="H5" s="4" t="s">
        <v>3</v>
      </c>
      <c r="I5" s="4" t="s">
        <v>4</v>
      </c>
      <c r="J5" s="4" t="s">
        <v>0</v>
      </c>
      <c r="K5" s="15" t="s">
        <v>30</v>
      </c>
      <c r="L5" s="15" t="s">
        <v>31</v>
      </c>
      <c r="M5" s="4" t="s">
        <v>26</v>
      </c>
    </row>
    <row r="6" spans="1:14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4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4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4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4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4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4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4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4" ht="24" customHeight="1" x14ac:dyDescent="0.25">
      <c r="C14" s="4" t="s">
        <v>19</v>
      </c>
      <c r="D14" s="4" t="s">
        <v>28</v>
      </c>
      <c r="E14" s="15" t="s">
        <v>36</v>
      </c>
      <c r="F14" s="4" t="s">
        <v>64</v>
      </c>
      <c r="H14" s="4" t="s">
        <v>3</v>
      </c>
      <c r="I14" s="4" t="s">
        <v>6</v>
      </c>
      <c r="J14" s="15" t="s">
        <v>36</v>
      </c>
      <c r="K14" s="4" t="s">
        <v>13</v>
      </c>
    </row>
    <row r="15" spans="1:14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>
        <v>85</v>
      </c>
      <c r="I15" s="10">
        <v>15</v>
      </c>
      <c r="J15" s="9"/>
      <c r="K15" s="9"/>
      <c r="L15" s="9"/>
      <c r="M15" s="9"/>
    </row>
    <row r="16" spans="1:14" ht="24" customHeight="1" x14ac:dyDescent="0.25">
      <c r="A16" s="4">
        <f>SUM(C16:F16)</f>
        <v>10</v>
      </c>
      <c r="C16" s="11"/>
      <c r="D16" s="12"/>
      <c r="E16" s="12">
        <v>10</v>
      </c>
      <c r="F16" s="11"/>
      <c r="H16" s="11">
        <v>35</v>
      </c>
      <c r="I16" s="12">
        <v>55</v>
      </c>
      <c r="J16" s="11">
        <v>10</v>
      </c>
      <c r="K16" s="11"/>
      <c r="L16" s="11"/>
      <c r="M16" s="11"/>
    </row>
    <row r="17" spans="1:13" ht="24" customHeight="1" x14ac:dyDescent="0.25">
      <c r="A17" s="4">
        <f>SUM(C17:F17)</f>
        <v>10</v>
      </c>
      <c r="C17" s="5"/>
      <c r="D17" s="6"/>
      <c r="E17" s="6">
        <v>10</v>
      </c>
      <c r="F17" s="5"/>
      <c r="H17" s="5"/>
      <c r="I17" s="6">
        <v>60</v>
      </c>
      <c r="J17" s="5">
        <v>30</v>
      </c>
      <c r="K17" s="5">
        <v>10</v>
      </c>
      <c r="L17" s="5"/>
      <c r="M17" s="5"/>
    </row>
    <row r="19" spans="1:13" ht="24" customHeight="1" x14ac:dyDescent="0.25">
      <c r="C19" s="15" t="s">
        <v>241</v>
      </c>
      <c r="D19" s="15" t="s">
        <v>242</v>
      </c>
      <c r="E19" s="4" t="s">
        <v>236</v>
      </c>
      <c r="H19" s="4">
        <f>SUM(I19)+4</f>
        <v>28</v>
      </c>
      <c r="I19" s="4">
        <f>SUM(J19)+9</f>
        <v>24</v>
      </c>
      <c r="J19" s="4">
        <v>15</v>
      </c>
    </row>
  </sheetData>
  <conditionalFormatting sqref="A2:A4">
    <cfRule type="cellIs" dxfId="33" priority="4" operator="notEqual">
      <formula>100</formula>
    </cfRule>
  </conditionalFormatting>
  <conditionalFormatting sqref="A15:A17">
    <cfRule type="cellIs" dxfId="32" priority="1" operator="notEqual">
      <formula>100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96303-FC04-4864-9993-51AEB34CF11A}">
  <dimension ref="A1:N19"/>
  <sheetViews>
    <sheetView workbookViewId="0">
      <selection activeCell="C1" sqref="C1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25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 t="s">
        <v>42</v>
      </c>
      <c r="J4" s="14">
        <v>50</v>
      </c>
      <c r="K4" s="5">
        <v>10</v>
      </c>
      <c r="L4" s="5"/>
      <c r="M4" s="5"/>
    </row>
    <row r="5" spans="1:13" ht="24" customHeight="1" x14ac:dyDescent="0.25">
      <c r="A5" s="7"/>
      <c r="B5" s="1"/>
      <c r="C5" s="4" t="s">
        <v>4</v>
      </c>
      <c r="D5" s="4" t="s">
        <v>3</v>
      </c>
      <c r="E5" s="4" t="s">
        <v>5</v>
      </c>
      <c r="H5" s="4" t="s">
        <v>3</v>
      </c>
      <c r="I5" s="4" t="s">
        <v>4</v>
      </c>
      <c r="J5" s="4" t="s">
        <v>0</v>
      </c>
      <c r="K5" s="4" t="s">
        <v>5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25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4</v>
      </c>
      <c r="D14" s="4" t="s">
        <v>3</v>
      </c>
      <c r="E14" s="4" t="s">
        <v>5</v>
      </c>
      <c r="H14" s="4" t="s">
        <v>3</v>
      </c>
      <c r="I14" s="4" t="s">
        <v>4</v>
      </c>
      <c r="J14" s="4" t="s">
        <v>5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38</v>
      </c>
    </row>
  </sheetData>
  <conditionalFormatting sqref="A2:A4">
    <cfRule type="cellIs" dxfId="31" priority="1" operator="notEqual">
      <formula>100</formula>
    </cfRule>
  </conditionalFormatting>
  <conditionalFormatting sqref="A15:A17">
    <cfRule type="cellIs" dxfId="30" priority="2" operator="notEqual">
      <formula>100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0A35A-5D2A-4F1B-9CE7-83F495309E1F}">
  <dimension ref="A1:N19"/>
  <sheetViews>
    <sheetView workbookViewId="0">
      <selection activeCell="J19" sqref="H19:J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>
        <v>20</v>
      </c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90</v>
      </c>
      <c r="D4" s="6">
        <v>10</v>
      </c>
      <c r="E4" s="6"/>
      <c r="F4" s="5"/>
      <c r="H4" s="5"/>
      <c r="I4" s="6">
        <v>70</v>
      </c>
      <c r="J4" s="5"/>
      <c r="K4" s="5">
        <v>30</v>
      </c>
      <c r="L4" s="5"/>
      <c r="M4" s="5"/>
    </row>
    <row r="5" spans="1:13" ht="24" customHeight="1" x14ac:dyDescent="0.25">
      <c r="A5" s="7"/>
      <c r="B5" s="1"/>
      <c r="C5" s="4" t="s">
        <v>3</v>
      </c>
      <c r="D5" s="4" t="s">
        <v>50</v>
      </c>
      <c r="H5" s="4" t="s">
        <v>3</v>
      </c>
      <c r="I5" s="4" t="s">
        <v>4</v>
      </c>
      <c r="J5" s="4" t="s">
        <v>0</v>
      </c>
      <c r="K5" s="4" t="s">
        <v>5</v>
      </c>
    </row>
    <row r="6" spans="1:13" s="3" customFormat="1" ht="14.1" customHeight="1" x14ac:dyDescent="0.25">
      <c r="A6" s="1"/>
      <c r="B6" s="1"/>
      <c r="C6" s="1">
        <f>SUM(C7:C11)</f>
        <v>90</v>
      </c>
      <c r="D6" s="1">
        <f>SUM(D7:D11)</f>
        <v>10</v>
      </c>
      <c r="E6" s="1">
        <f>SUM(E7:E11)</f>
        <v>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25</v>
      </c>
      <c r="K6" s="1">
        <f t="shared" si="0"/>
        <v>25</v>
      </c>
      <c r="L6" s="1">
        <f t="shared" si="0"/>
        <v>25</v>
      </c>
      <c r="M6" s="1">
        <f t="shared" si="0"/>
        <v>25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18" t="s">
        <v>18</v>
      </c>
      <c r="K7" s="18" t="s">
        <v>13</v>
      </c>
      <c r="L7" s="18" t="s">
        <v>43</v>
      </c>
      <c r="M7" s="18" t="s">
        <v>1</v>
      </c>
    </row>
    <row r="8" spans="1:13" ht="24" customHeight="1" x14ac:dyDescent="0.25">
      <c r="A8" s="7">
        <v>30</v>
      </c>
      <c r="B8" s="1"/>
      <c r="C8" s="7">
        <v>30</v>
      </c>
      <c r="E8" s="8"/>
      <c r="F8" s="8"/>
      <c r="H8" s="8"/>
      <c r="I8" s="8"/>
      <c r="J8" s="18">
        <v>25</v>
      </c>
      <c r="K8" s="18">
        <v>25</v>
      </c>
      <c r="L8" s="18">
        <v>25</v>
      </c>
      <c r="M8" s="18">
        <v>25</v>
      </c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>
        <v>10</v>
      </c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90</v>
      </c>
      <c r="D12" s="1">
        <f>SUM(D7:D11)</f>
        <v>10</v>
      </c>
      <c r="E12" s="1">
        <f>SUM(E7:E11)</f>
        <v>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25</v>
      </c>
      <c r="K12" s="1">
        <f t="shared" si="1"/>
        <v>25</v>
      </c>
      <c r="L12" s="1">
        <f t="shared" si="1"/>
        <v>25</v>
      </c>
      <c r="M12" s="1">
        <f t="shared" si="1"/>
        <v>25</v>
      </c>
    </row>
    <row r="13" spans="1:13" s="3" customFormat="1" ht="24" customHeight="1" x14ac:dyDescent="0.25">
      <c r="C13" s="1"/>
      <c r="D13" s="1">
        <v>20</v>
      </c>
      <c r="E13" s="1"/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3</v>
      </c>
      <c r="D14" s="4" t="s">
        <v>50</v>
      </c>
      <c r="H14" s="4" t="s">
        <v>9</v>
      </c>
    </row>
    <row r="15" spans="1:13" ht="24" customHeight="1" x14ac:dyDescent="0.25">
      <c r="A15" s="4">
        <f>SUM(C15:F15)</f>
        <v>100</v>
      </c>
      <c r="C15" s="9">
        <v>90</v>
      </c>
      <c r="D15" s="10">
        <v>10</v>
      </c>
      <c r="E15" s="10"/>
      <c r="F15" s="9"/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  <row r="19" spans="1:13" ht="24" customHeight="1" x14ac:dyDescent="0.25">
      <c r="C19" s="4" t="s">
        <v>235</v>
      </c>
      <c r="H19" s="4">
        <f>SUM(I19)+4</f>
        <v>28</v>
      </c>
      <c r="I19" s="4">
        <f>SUM(J19)+9</f>
        <v>24</v>
      </c>
      <c r="J19" s="4">
        <v>15</v>
      </c>
    </row>
  </sheetData>
  <conditionalFormatting sqref="A2:A4">
    <cfRule type="cellIs" dxfId="29" priority="4" operator="notEqual">
      <formula>100</formula>
    </cfRule>
  </conditionalFormatting>
  <conditionalFormatting sqref="A15:A17">
    <cfRule type="cellIs" dxfId="28" priority="1" operator="notEqual">
      <formula>100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CAC90-784A-47B9-8D96-796EAED0DECD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33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 t="s">
        <v>44</v>
      </c>
      <c r="K4" s="14">
        <v>33</v>
      </c>
      <c r="L4" s="14">
        <v>33</v>
      </c>
      <c r="M4" s="5">
        <v>30</v>
      </c>
    </row>
    <row r="5" spans="1:13" ht="24" customHeight="1" x14ac:dyDescent="0.25">
      <c r="A5" s="7"/>
      <c r="B5" s="1"/>
      <c r="C5" s="4" t="s">
        <v>0</v>
      </c>
      <c r="D5" s="4" t="s">
        <v>3</v>
      </c>
      <c r="E5" s="4" t="s">
        <v>1</v>
      </c>
      <c r="H5" s="4" t="s">
        <v>3</v>
      </c>
      <c r="I5" s="4" t="s">
        <v>4</v>
      </c>
      <c r="J5" s="4" t="s">
        <v>0</v>
      </c>
      <c r="K5" s="19" t="s">
        <v>2</v>
      </c>
      <c r="L5" s="19" t="s">
        <v>6</v>
      </c>
      <c r="M5" s="4" t="s">
        <v>1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33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0</v>
      </c>
      <c r="D14" s="4" t="s">
        <v>3</v>
      </c>
      <c r="E14" s="4" t="s">
        <v>1</v>
      </c>
      <c r="F14" s="4" t="s">
        <v>126</v>
      </c>
      <c r="H14" s="4" t="s">
        <v>3</v>
      </c>
      <c r="I14" s="4" t="s">
        <v>0</v>
      </c>
      <c r="J14" s="4" t="s">
        <v>1</v>
      </c>
    </row>
    <row r="15" spans="1:13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37</v>
      </c>
    </row>
  </sheetData>
  <conditionalFormatting sqref="A2:A4">
    <cfRule type="cellIs" dxfId="27" priority="4" operator="notEqual">
      <formula>100</formula>
    </cfRule>
  </conditionalFormatting>
  <conditionalFormatting sqref="A15:A17">
    <cfRule type="cellIs" dxfId="26" priority="1" operator="notEqual">
      <formula>100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4EB74-0280-4764-8BAE-AE586B074A7D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37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/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/>
      <c r="J3" s="11"/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/>
      <c r="K4" s="5"/>
      <c r="L4" s="5"/>
      <c r="M4" s="5"/>
    </row>
    <row r="5" spans="1:13" ht="24" customHeight="1" x14ac:dyDescent="0.25">
      <c r="A5" s="7"/>
      <c r="B5" s="1"/>
      <c r="C5" s="4" t="s">
        <v>19</v>
      </c>
      <c r="D5" s="4" t="s">
        <v>10</v>
      </c>
      <c r="E5" s="4" t="s">
        <v>18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37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19</v>
      </c>
      <c r="D14" s="4" t="s">
        <v>10</v>
      </c>
      <c r="E14" s="4" t="s">
        <v>18</v>
      </c>
      <c r="H14" s="4" t="s">
        <v>3</v>
      </c>
      <c r="I14" s="4" t="s">
        <v>19</v>
      </c>
      <c r="J14" s="4" t="s">
        <v>46</v>
      </c>
      <c r="K14" s="4" t="s">
        <v>7</v>
      </c>
      <c r="L14" s="4" t="s">
        <v>26</v>
      </c>
      <c r="M14" s="4" t="s">
        <v>47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35</v>
      </c>
      <c r="J16" s="11">
        <v>20</v>
      </c>
      <c r="K16" s="11">
        <v>10</v>
      </c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>
        <v>40</v>
      </c>
      <c r="K17" s="5">
        <v>30</v>
      </c>
      <c r="L17" s="5">
        <v>20</v>
      </c>
      <c r="M17" s="5">
        <v>10</v>
      </c>
    </row>
    <row r="19" spans="1:13" ht="24" customHeight="1" x14ac:dyDescent="0.25">
      <c r="C19" s="4" t="s">
        <v>45</v>
      </c>
    </row>
  </sheetData>
  <conditionalFormatting sqref="A2:A4">
    <cfRule type="cellIs" dxfId="25" priority="4" operator="notEqual">
      <formula>100</formula>
    </cfRule>
  </conditionalFormatting>
  <conditionalFormatting sqref="A15:A17">
    <cfRule type="cellIs" dxfId="24" priority="1" operator="notEqual">
      <formula>100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90BC6-1879-4CD6-9ABB-A343D8A50873}">
  <dimension ref="A1:N19"/>
  <sheetViews>
    <sheetView workbookViewId="0">
      <selection activeCell="J19" sqref="H19:J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1"/>
      <c r="B1" s="1"/>
      <c r="C1" s="1">
        <v>25</v>
      </c>
      <c r="D1" s="1">
        <v>33</v>
      </c>
      <c r="E1" s="1">
        <v>20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60</v>
      </c>
      <c r="B2" s="1"/>
      <c r="C2" s="9">
        <v>20</v>
      </c>
      <c r="D2" s="10">
        <v>20</v>
      </c>
      <c r="E2" s="10">
        <v>20</v>
      </c>
      <c r="F2" s="9"/>
      <c r="H2" s="9"/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/>
      <c r="J3" s="11"/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/>
      <c r="K4" s="5"/>
      <c r="L4" s="5"/>
      <c r="M4" s="5"/>
    </row>
    <row r="5" spans="1:13" ht="24" customHeight="1" x14ac:dyDescent="0.25">
      <c r="A5" s="7"/>
      <c r="B5" s="1"/>
      <c r="C5" s="4" t="s">
        <v>3</v>
      </c>
      <c r="D5" s="4" t="s">
        <v>50</v>
      </c>
      <c r="E5" s="4" t="s">
        <v>52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>
        <v>25</v>
      </c>
      <c r="D13" s="1">
        <v>33</v>
      </c>
      <c r="E13" s="1">
        <v>20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3</v>
      </c>
      <c r="D14" s="4" t="s">
        <v>50</v>
      </c>
      <c r="E14" s="4" t="s">
        <v>52</v>
      </c>
      <c r="H14" s="4" t="s">
        <v>3</v>
      </c>
      <c r="I14" s="4" t="s">
        <v>4</v>
      </c>
      <c r="J14" s="4" t="s">
        <v>5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235</v>
      </c>
      <c r="H19" s="4">
        <f>SUM(I19)+4</f>
        <v>28</v>
      </c>
      <c r="I19" s="4">
        <f>SUM(J19)+9</f>
        <v>24</v>
      </c>
      <c r="J19" s="4">
        <v>15</v>
      </c>
    </row>
  </sheetData>
  <conditionalFormatting sqref="A2:A4">
    <cfRule type="cellIs" dxfId="23" priority="4" operator="notEqual">
      <formula>100</formula>
    </cfRule>
  </conditionalFormatting>
  <conditionalFormatting sqref="A15:A17">
    <cfRule type="cellIs" dxfId="22" priority="1" operator="notEqual">
      <formula>100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7EFB6-F5CF-4C80-8BFC-C23CE7CD283B}">
  <dimension ref="A1:N19"/>
  <sheetViews>
    <sheetView workbookViewId="0">
      <selection activeCell="D19" sqref="D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4" ht="24" customHeight="1" x14ac:dyDescent="0.25">
      <c r="A1" s="1"/>
      <c r="B1" s="1"/>
      <c r="C1" s="13" t="s">
        <v>34</v>
      </c>
      <c r="D1" s="1"/>
      <c r="E1" s="1"/>
      <c r="F1" s="1"/>
      <c r="H1" s="2">
        <v>5</v>
      </c>
      <c r="I1" s="2">
        <v>10</v>
      </c>
      <c r="J1" s="1">
        <v>10</v>
      </c>
      <c r="K1" s="13" t="s">
        <v>35</v>
      </c>
      <c r="L1" s="2">
        <v>20</v>
      </c>
      <c r="M1" s="2">
        <v>30</v>
      </c>
    </row>
    <row r="2" spans="1:14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  <c r="N2" s="17">
        <v>5</v>
      </c>
    </row>
    <row r="3" spans="1:14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  <c r="N3" s="17">
        <v>10</v>
      </c>
    </row>
    <row r="4" spans="1:14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>
        <v>25</v>
      </c>
      <c r="K4" s="5" t="s">
        <v>32</v>
      </c>
      <c r="L4" s="5" t="s">
        <v>23</v>
      </c>
      <c r="M4" s="5" t="s">
        <v>33</v>
      </c>
      <c r="N4" s="17">
        <v>15</v>
      </c>
    </row>
    <row r="5" spans="1:14" ht="24" customHeight="1" x14ac:dyDescent="0.25">
      <c r="A5" s="7"/>
      <c r="B5" s="1"/>
      <c r="C5" s="4" t="s">
        <v>19</v>
      </c>
      <c r="D5" s="4" t="s">
        <v>28</v>
      </c>
      <c r="E5" s="4" t="s">
        <v>29</v>
      </c>
      <c r="H5" s="4" t="s">
        <v>3</v>
      </c>
      <c r="I5" s="4" t="s">
        <v>4</v>
      </c>
      <c r="J5" s="4" t="s">
        <v>0</v>
      </c>
      <c r="K5" s="15" t="s">
        <v>30</v>
      </c>
      <c r="L5" s="15" t="s">
        <v>31</v>
      </c>
      <c r="M5" s="4" t="s">
        <v>26</v>
      </c>
    </row>
    <row r="6" spans="1:14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4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4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4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4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4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4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4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4" ht="24" customHeight="1" x14ac:dyDescent="0.25">
      <c r="C14" s="4" t="s">
        <v>19</v>
      </c>
      <c r="D14" s="4" t="s">
        <v>28</v>
      </c>
      <c r="E14" s="15" t="s">
        <v>36</v>
      </c>
      <c r="F14" s="4" t="s">
        <v>64</v>
      </c>
      <c r="H14" s="4" t="s">
        <v>3</v>
      </c>
      <c r="I14" s="4" t="s">
        <v>6</v>
      </c>
      <c r="J14" s="15" t="s">
        <v>36</v>
      </c>
      <c r="K14" s="4" t="s">
        <v>13</v>
      </c>
    </row>
    <row r="15" spans="1:14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>
        <v>85</v>
      </c>
      <c r="I15" s="10">
        <v>15</v>
      </c>
      <c r="J15" s="9"/>
      <c r="K15" s="9"/>
      <c r="L15" s="9"/>
      <c r="M15" s="9"/>
    </row>
    <row r="16" spans="1:14" ht="24" customHeight="1" x14ac:dyDescent="0.25">
      <c r="A16" s="4">
        <f>SUM(C16:F16)</f>
        <v>10</v>
      </c>
      <c r="C16" s="11"/>
      <c r="D16" s="12"/>
      <c r="E16" s="12">
        <v>10</v>
      </c>
      <c r="F16" s="11"/>
      <c r="H16" s="11">
        <v>35</v>
      </c>
      <c r="I16" s="12">
        <v>55</v>
      </c>
      <c r="J16" s="11">
        <v>10</v>
      </c>
      <c r="K16" s="11"/>
      <c r="L16" s="11"/>
      <c r="M16" s="11"/>
    </row>
    <row r="17" spans="1:13" ht="24" customHeight="1" x14ac:dyDescent="0.25">
      <c r="A17" s="4">
        <f>SUM(C17:F17)</f>
        <v>10</v>
      </c>
      <c r="C17" s="5"/>
      <c r="D17" s="6"/>
      <c r="E17" s="6">
        <v>10</v>
      </c>
      <c r="F17" s="5"/>
      <c r="H17" s="5"/>
      <c r="I17" s="6">
        <v>60</v>
      </c>
      <c r="J17" s="5">
        <v>30</v>
      </c>
      <c r="K17" s="5">
        <v>10</v>
      </c>
      <c r="L17" s="5"/>
      <c r="M17" s="5"/>
    </row>
    <row r="19" spans="1:13" ht="24" customHeight="1" x14ac:dyDescent="0.25">
      <c r="C19" s="4" t="s">
        <v>40</v>
      </c>
    </row>
  </sheetData>
  <conditionalFormatting sqref="A2:A4">
    <cfRule type="cellIs" dxfId="21" priority="2" operator="notEqual">
      <formula>100</formula>
    </cfRule>
  </conditionalFormatting>
  <conditionalFormatting sqref="A15:A17">
    <cfRule type="cellIs" dxfId="20" priority="1" operator="notEqual">
      <formula>100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8F2C5-2DD7-4DAD-A76A-93DB96127ED9}">
  <dimension ref="A1:N19"/>
  <sheetViews>
    <sheetView workbookViewId="0">
      <selection activeCell="E13" sqref="E13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1"/>
      <c r="B1" s="1"/>
      <c r="C1" s="1"/>
      <c r="D1" s="1"/>
      <c r="E1" s="1">
        <v>25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 t="s">
        <v>42</v>
      </c>
      <c r="J4" s="14">
        <v>50</v>
      </c>
      <c r="K4" s="5">
        <v>10</v>
      </c>
      <c r="L4" s="5"/>
      <c r="M4" s="5"/>
    </row>
    <row r="5" spans="1:13" ht="24" customHeight="1" x14ac:dyDescent="0.25">
      <c r="A5" s="7"/>
      <c r="B5" s="1"/>
      <c r="C5" s="4" t="s">
        <v>4</v>
      </c>
      <c r="D5" s="4" t="s">
        <v>3</v>
      </c>
      <c r="E5" s="4" t="s">
        <v>5</v>
      </c>
      <c r="H5" s="4" t="s">
        <v>3</v>
      </c>
      <c r="I5" s="4" t="s">
        <v>4</v>
      </c>
      <c r="J5" s="4" t="s">
        <v>0</v>
      </c>
      <c r="K5" s="4" t="s">
        <v>5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25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4</v>
      </c>
      <c r="D14" s="4" t="s">
        <v>3</v>
      </c>
      <c r="E14" s="4" t="s">
        <v>5</v>
      </c>
      <c r="H14" s="4" t="s">
        <v>3</v>
      </c>
      <c r="I14" s="4" t="s">
        <v>4</v>
      </c>
      <c r="J14" s="4" t="s">
        <v>5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38</v>
      </c>
    </row>
  </sheetData>
  <conditionalFormatting sqref="A2:A4">
    <cfRule type="cellIs" dxfId="19" priority="1" operator="notEqual">
      <formula>100</formula>
    </cfRule>
  </conditionalFormatting>
  <conditionalFormatting sqref="A15:A17">
    <cfRule type="cellIs" dxfId="18" priority="2" operator="notEqual">
      <formula>100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A12E0-C66B-42AC-B191-1223DC0BEB29}">
  <dimension ref="A1:N19"/>
  <sheetViews>
    <sheetView workbookViewId="0">
      <selection activeCell="E13" sqref="E13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1"/>
      <c r="B1" s="1"/>
      <c r="C1" s="1"/>
      <c r="D1" s="1"/>
      <c r="E1" s="1">
        <v>33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 t="s">
        <v>44</v>
      </c>
      <c r="K4" s="14">
        <v>33</v>
      </c>
      <c r="L4" s="14">
        <v>33</v>
      </c>
      <c r="M4" s="5">
        <v>30</v>
      </c>
    </row>
    <row r="5" spans="1:13" ht="24" customHeight="1" x14ac:dyDescent="0.25">
      <c r="A5" s="7"/>
      <c r="B5" s="1"/>
      <c r="C5" s="4" t="s">
        <v>0</v>
      </c>
      <c r="D5" s="4" t="s">
        <v>3</v>
      </c>
      <c r="E5" s="4" t="s">
        <v>1</v>
      </c>
      <c r="H5" s="4" t="s">
        <v>3</v>
      </c>
      <c r="I5" s="4" t="s">
        <v>4</v>
      </c>
      <c r="J5" s="4" t="s">
        <v>0</v>
      </c>
      <c r="K5" s="19" t="s">
        <v>2</v>
      </c>
      <c r="L5" s="19" t="s">
        <v>6</v>
      </c>
      <c r="M5" s="4" t="s">
        <v>1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33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0</v>
      </c>
      <c r="D14" s="4" t="s">
        <v>3</v>
      </c>
      <c r="E14" s="4" t="s">
        <v>1</v>
      </c>
      <c r="H14" s="4" t="s">
        <v>3</v>
      </c>
      <c r="I14" s="4" t="s">
        <v>0</v>
      </c>
      <c r="J14" s="4" t="s">
        <v>1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>
        <v>20</v>
      </c>
      <c r="I17" s="6">
        <v>70</v>
      </c>
      <c r="J17" s="5">
        <v>10</v>
      </c>
      <c r="K17" s="5"/>
      <c r="L17" s="5"/>
      <c r="M17" s="5"/>
    </row>
    <row r="19" spans="1:13" ht="24" customHeight="1" x14ac:dyDescent="0.25">
      <c r="C19" s="4" t="s">
        <v>37</v>
      </c>
    </row>
  </sheetData>
  <conditionalFormatting sqref="A2:A4">
    <cfRule type="cellIs" dxfId="17" priority="2" operator="notEqual">
      <formula>100</formula>
    </cfRule>
  </conditionalFormatting>
  <conditionalFormatting sqref="A15:A17">
    <cfRule type="cellIs" dxfId="16" priority="1" operator="notEqual">
      <formula>100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9A5B0-C57D-4D41-AF85-9C47DDC91AFE}">
  <dimension ref="A1:N19"/>
  <sheetViews>
    <sheetView workbookViewId="0">
      <selection activeCell="E19" sqref="E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1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24</v>
      </c>
      <c r="B2" s="1"/>
      <c r="C2" s="9">
        <v>8</v>
      </c>
      <c r="D2" s="10">
        <v>8</v>
      </c>
      <c r="E2" s="10">
        <v>8</v>
      </c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/>
      <c r="K4" s="14">
        <v>50</v>
      </c>
      <c r="L4" s="14">
        <v>50</v>
      </c>
      <c r="M4" s="5"/>
    </row>
    <row r="5" spans="1:13" ht="24" customHeight="1" x14ac:dyDescent="0.25">
      <c r="A5" s="7"/>
      <c r="B5" s="1"/>
      <c r="C5" s="4" t="s">
        <v>19</v>
      </c>
      <c r="D5" s="4" t="s">
        <v>28</v>
      </c>
      <c r="E5" s="4" t="s">
        <v>29</v>
      </c>
      <c r="H5" s="4" t="s">
        <v>3</v>
      </c>
      <c r="I5" s="4" t="s">
        <v>4</v>
      </c>
      <c r="J5" s="4" t="s">
        <v>0</v>
      </c>
      <c r="K5" s="19" t="s">
        <v>7</v>
      </c>
      <c r="L5" s="19" t="s">
        <v>6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90</v>
      </c>
      <c r="L6" s="1">
        <f t="shared" si="0"/>
        <v>10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 t="s">
        <v>19</v>
      </c>
      <c r="L7" s="8" t="s">
        <v>28</v>
      </c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>
        <v>90</v>
      </c>
      <c r="L8" s="8">
        <v>10</v>
      </c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90</v>
      </c>
      <c r="L12" s="1">
        <f t="shared" si="1"/>
        <v>10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19</v>
      </c>
      <c r="D14" s="4" t="s">
        <v>28</v>
      </c>
      <c r="E14" s="15" t="s">
        <v>36</v>
      </c>
      <c r="H14" s="4" t="s">
        <v>3</v>
      </c>
      <c r="I14" s="4" t="s">
        <v>19</v>
      </c>
      <c r="J14" s="4" t="s">
        <v>46</v>
      </c>
      <c r="K14" s="4" t="s">
        <v>7</v>
      </c>
      <c r="L14" s="4" t="s">
        <v>26</v>
      </c>
      <c r="M14" s="4" t="s">
        <v>47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10</v>
      </c>
      <c r="C16" s="11"/>
      <c r="D16" s="12"/>
      <c r="E16" s="12">
        <v>10</v>
      </c>
      <c r="F16" s="11"/>
      <c r="H16" s="11">
        <v>35</v>
      </c>
      <c r="I16" s="12">
        <v>35</v>
      </c>
      <c r="J16" s="11">
        <v>20</v>
      </c>
      <c r="K16" s="11">
        <v>10</v>
      </c>
      <c r="L16" s="11"/>
      <c r="M16" s="11"/>
    </row>
    <row r="17" spans="1:13" ht="24" customHeight="1" x14ac:dyDescent="0.25">
      <c r="A17" s="4">
        <f>SUM(C17:F17)</f>
        <v>10</v>
      </c>
      <c r="C17" s="5"/>
      <c r="D17" s="6"/>
      <c r="E17" s="6">
        <v>10</v>
      </c>
      <c r="F17" s="5"/>
      <c r="H17" s="5"/>
      <c r="I17" s="6"/>
      <c r="J17" s="5">
        <v>40</v>
      </c>
      <c r="K17" s="5">
        <v>30</v>
      </c>
      <c r="L17" s="5">
        <v>20</v>
      </c>
      <c r="M17" s="5">
        <v>10</v>
      </c>
    </row>
    <row r="19" spans="1:13" ht="24" customHeight="1" x14ac:dyDescent="0.25">
      <c r="C19" s="15" t="s">
        <v>243</v>
      </c>
      <c r="D19" s="15" t="s">
        <v>244</v>
      </c>
      <c r="H19" s="4">
        <f>SUM(I19)+4</f>
        <v>21</v>
      </c>
      <c r="I19" s="4">
        <f>SUM(J19)+9</f>
        <v>17</v>
      </c>
      <c r="J19" s="4">
        <v>8</v>
      </c>
    </row>
  </sheetData>
  <conditionalFormatting sqref="A2:A4">
    <cfRule type="cellIs" dxfId="15" priority="4" operator="notEqual">
      <formula>100</formula>
    </cfRule>
  </conditionalFormatting>
  <conditionalFormatting sqref="A15:A17">
    <cfRule type="cellIs" dxfId="14" priority="1" operator="notEqual">
      <formula>100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74EE4-3D30-4A6F-A87E-7136D816EBF9}">
  <dimension ref="A1:N19"/>
  <sheetViews>
    <sheetView workbookViewId="0">
      <selection activeCell="H19" sqref="H19:J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38</v>
      </c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50</v>
      </c>
      <c r="D4" s="6">
        <v>40</v>
      </c>
      <c r="E4" s="6">
        <v>10</v>
      </c>
      <c r="F4" s="5"/>
      <c r="H4" s="5"/>
      <c r="I4" s="6"/>
      <c r="J4" s="5">
        <v>100</v>
      </c>
      <c r="K4" s="14">
        <v>50</v>
      </c>
      <c r="L4" s="14">
        <v>50</v>
      </c>
      <c r="M4" s="5"/>
    </row>
    <row r="5" spans="1:13" ht="24" customHeight="1" x14ac:dyDescent="0.25">
      <c r="A5" s="7"/>
      <c r="B5" s="1"/>
      <c r="C5" s="4" t="s">
        <v>3</v>
      </c>
      <c r="D5" s="4" t="s">
        <v>48</v>
      </c>
      <c r="E5" s="4" t="s">
        <v>49</v>
      </c>
      <c r="H5" s="4" t="s">
        <v>3</v>
      </c>
      <c r="I5" s="4" t="s">
        <v>4</v>
      </c>
      <c r="J5" s="4" t="s">
        <v>0</v>
      </c>
      <c r="K5" s="4" t="s">
        <v>5</v>
      </c>
      <c r="L5" s="4" t="s">
        <v>10</v>
      </c>
    </row>
    <row r="6" spans="1:13" s="3" customFormat="1" ht="14.1" customHeight="1" x14ac:dyDescent="0.25">
      <c r="A6" s="1"/>
      <c r="B6" s="1"/>
      <c r="C6" s="1">
        <f>SUM(C7:C11)</f>
        <v>50</v>
      </c>
      <c r="D6" s="1">
        <f>SUM(D7:D11)</f>
        <v>40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D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50</v>
      </c>
      <c r="D12" s="1">
        <f>SUM(D7:D11)</f>
        <v>40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>
        <v>38</v>
      </c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3</v>
      </c>
      <c r="D14" s="4" t="s">
        <v>48</v>
      </c>
      <c r="E14" s="4" t="s">
        <v>49</v>
      </c>
      <c r="H14" s="4" t="s">
        <v>8</v>
      </c>
    </row>
    <row r="15" spans="1:13" ht="24" customHeight="1" x14ac:dyDescent="0.25">
      <c r="A15" s="4">
        <f>SUM(C15:F15)</f>
        <v>100</v>
      </c>
      <c r="C15" s="9">
        <v>50</v>
      </c>
      <c r="D15" s="10">
        <v>40</v>
      </c>
      <c r="E15" s="10">
        <v>10</v>
      </c>
      <c r="F15" s="9"/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  <row r="19" spans="1:13" ht="24" customHeight="1" x14ac:dyDescent="0.25">
      <c r="C19" s="4" t="s">
        <v>38</v>
      </c>
      <c r="H19" s="4">
        <f>SUM(I19)+4</f>
        <v>29</v>
      </c>
      <c r="I19" s="4">
        <f>SUM(J19)+9</f>
        <v>25</v>
      </c>
      <c r="J19" s="4">
        <v>16</v>
      </c>
    </row>
  </sheetData>
  <conditionalFormatting sqref="A2:A4">
    <cfRule type="cellIs" dxfId="13" priority="4" operator="notEqual">
      <formula>100</formula>
    </cfRule>
  </conditionalFormatting>
  <conditionalFormatting sqref="A15:A17">
    <cfRule type="cellIs" dxfId="12" priority="1" operator="notEqual">
      <formula>100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1B75E-4FC6-46BD-B518-0632E8CABB44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4" ht="24" customHeight="1" x14ac:dyDescent="0.25">
      <c r="A1" s="45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4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4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4" ht="24" customHeight="1" x14ac:dyDescent="0.25">
      <c r="A4" s="4">
        <f>SUM(C4:F4)</f>
        <v>100</v>
      </c>
      <c r="B4" s="1"/>
      <c r="C4" s="5">
        <v>100</v>
      </c>
      <c r="D4" s="6"/>
      <c r="E4" s="6"/>
      <c r="F4" s="5"/>
      <c r="H4" s="14" t="s">
        <v>51</v>
      </c>
      <c r="I4" s="6"/>
      <c r="J4" s="14">
        <v>25</v>
      </c>
      <c r="K4" s="14">
        <v>25</v>
      </c>
      <c r="L4" s="14">
        <v>25</v>
      </c>
      <c r="M4" s="5">
        <v>10</v>
      </c>
    </row>
    <row r="5" spans="1:14" ht="24" customHeight="1" x14ac:dyDescent="0.25">
      <c r="A5" s="7"/>
      <c r="B5" s="1"/>
      <c r="C5" s="4" t="s">
        <v>3</v>
      </c>
      <c r="H5" s="4" t="s">
        <v>3</v>
      </c>
      <c r="I5" s="4" t="s">
        <v>4</v>
      </c>
      <c r="J5" s="4" t="s">
        <v>0</v>
      </c>
      <c r="K5" s="19" t="s">
        <v>1</v>
      </c>
      <c r="L5" s="19" t="s">
        <v>6</v>
      </c>
      <c r="M5" s="4" t="s">
        <v>50</v>
      </c>
    </row>
    <row r="6" spans="1:14" s="3" customFormat="1" ht="14.1" customHeight="1" x14ac:dyDescent="0.25">
      <c r="A6" s="1"/>
      <c r="B6" s="1"/>
      <c r="C6" s="1">
        <f>SUM(C7:C11)</f>
        <v>100</v>
      </c>
      <c r="D6" s="1">
        <f>SUM(D7:D11)</f>
        <v>0</v>
      </c>
      <c r="E6" s="1">
        <f>SUM(E7:E11)</f>
        <v>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4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4" ht="24" customHeight="1" x14ac:dyDescent="0.25">
      <c r="A8" s="7">
        <v>30</v>
      </c>
      <c r="B8" s="1"/>
      <c r="C8" s="7">
        <v>30</v>
      </c>
      <c r="E8" s="8"/>
      <c r="F8" s="8"/>
      <c r="H8" s="8"/>
      <c r="I8" s="8"/>
      <c r="J8" s="8"/>
      <c r="K8" s="8"/>
      <c r="L8" s="8"/>
      <c r="M8" s="8"/>
    </row>
    <row r="9" spans="1:14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4" ht="24" customHeight="1" x14ac:dyDescent="0.25">
      <c r="A10" s="7">
        <v>10</v>
      </c>
      <c r="B10" s="1"/>
      <c r="C10" s="8">
        <v>10</v>
      </c>
      <c r="F10" s="7"/>
      <c r="H10" s="8"/>
      <c r="I10" s="8"/>
      <c r="J10" s="8"/>
      <c r="K10" s="8"/>
      <c r="L10" s="8"/>
      <c r="M10" s="8"/>
    </row>
    <row r="11" spans="1:14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4" s="3" customFormat="1" ht="14.1" customHeight="1" x14ac:dyDescent="0.25">
      <c r="C12" s="1">
        <f>SUM(C7:C11)</f>
        <v>100</v>
      </c>
      <c r="D12" s="1">
        <f>SUM(D7:D11)</f>
        <v>0</v>
      </c>
      <c r="E12" s="1">
        <f>SUM(E7:E11)</f>
        <v>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4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4" ht="24" customHeight="1" x14ac:dyDescent="0.25">
      <c r="C14" s="4" t="s">
        <v>3</v>
      </c>
      <c r="H14" s="4" t="s">
        <v>3</v>
      </c>
      <c r="I14" s="4" t="s">
        <v>50</v>
      </c>
    </row>
    <row r="15" spans="1:14" ht="24" customHeight="1" x14ac:dyDescent="0.25">
      <c r="A15" s="4">
        <f>SUM(C15:F15)</f>
        <v>100</v>
      </c>
      <c r="C15" s="9">
        <v>100</v>
      </c>
      <c r="D15" s="10"/>
      <c r="E15" s="10"/>
      <c r="F15" s="9"/>
      <c r="H15" s="9">
        <v>100</v>
      </c>
      <c r="I15" s="10"/>
      <c r="J15" s="9"/>
      <c r="K15" s="9"/>
      <c r="L15" s="9"/>
      <c r="M15" s="9"/>
      <c r="N15" s="3">
        <v>10</v>
      </c>
    </row>
    <row r="16" spans="1:14" ht="24" customHeight="1" x14ac:dyDescent="0.25">
      <c r="A16" s="4">
        <f>SUM(C16:F16)</f>
        <v>0</v>
      </c>
      <c r="C16" s="11"/>
      <c r="D16" s="12"/>
      <c r="E16" s="12"/>
      <c r="F16" s="11"/>
      <c r="H16" s="11">
        <v>90</v>
      </c>
      <c r="I16" s="12">
        <v>10</v>
      </c>
      <c r="J16" s="11"/>
      <c r="K16" s="11"/>
      <c r="L16" s="11"/>
      <c r="M16" s="11"/>
      <c r="N16" s="3">
        <v>20</v>
      </c>
    </row>
    <row r="17" spans="1:14" ht="24" customHeight="1" x14ac:dyDescent="0.25">
      <c r="A17" s="4">
        <f>SUM(C17:F17)</f>
        <v>0</v>
      </c>
      <c r="C17" s="5"/>
      <c r="D17" s="6"/>
      <c r="E17" s="6"/>
      <c r="F17" s="5"/>
      <c r="H17" s="5">
        <v>70</v>
      </c>
      <c r="I17" s="6">
        <v>30</v>
      </c>
      <c r="J17" s="5"/>
      <c r="K17" s="5"/>
      <c r="L17" s="5"/>
      <c r="M17" s="5"/>
      <c r="N17" s="3">
        <v>30</v>
      </c>
    </row>
    <row r="19" spans="1:14" ht="24" customHeight="1" x14ac:dyDescent="0.25">
      <c r="C19" s="4" t="s">
        <v>237</v>
      </c>
    </row>
  </sheetData>
  <conditionalFormatting sqref="A2:A4">
    <cfRule type="cellIs" dxfId="11" priority="4" operator="notEqual">
      <formula>100</formula>
    </cfRule>
  </conditionalFormatting>
  <conditionalFormatting sqref="A15:A17">
    <cfRule type="cellIs" dxfId="10" priority="1" operator="notEqual">
      <formula>100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1854E-4851-4BE1-A227-963D4CEEB525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14">
        <v>25</v>
      </c>
      <c r="K4" s="14">
        <v>25</v>
      </c>
      <c r="L4" s="14">
        <v>25</v>
      </c>
      <c r="M4" s="14">
        <v>25</v>
      </c>
    </row>
    <row r="5" spans="1:13" ht="24" customHeight="1" x14ac:dyDescent="0.25">
      <c r="A5" s="7"/>
      <c r="B5" s="1"/>
      <c r="C5" s="4" t="s">
        <v>19</v>
      </c>
      <c r="D5" s="4" t="s">
        <v>28</v>
      </c>
      <c r="E5" s="4" t="s">
        <v>29</v>
      </c>
      <c r="H5" s="4" t="s">
        <v>3</v>
      </c>
      <c r="I5" s="4" t="s">
        <v>4</v>
      </c>
      <c r="J5" s="4" t="s">
        <v>0</v>
      </c>
      <c r="K5" s="19" t="s">
        <v>7</v>
      </c>
      <c r="L5" s="19" t="s">
        <v>28</v>
      </c>
      <c r="M5" s="4" t="s">
        <v>29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40</v>
      </c>
      <c r="M6" s="1">
        <f t="shared" si="0"/>
        <v>60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 t="s">
        <v>19</v>
      </c>
      <c r="M7" s="8" t="s">
        <v>29</v>
      </c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>
        <v>40</v>
      </c>
      <c r="M8" s="8">
        <v>60</v>
      </c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40</v>
      </c>
      <c r="M12" s="1">
        <f t="shared" si="1"/>
        <v>60</v>
      </c>
    </row>
    <row r="13" spans="1:13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19</v>
      </c>
      <c r="D14" s="4" t="s">
        <v>28</v>
      </c>
      <c r="E14" s="15" t="s">
        <v>36</v>
      </c>
      <c r="F14" s="4" t="s">
        <v>64</v>
      </c>
      <c r="H14" s="4" t="s">
        <v>3</v>
      </c>
      <c r="I14" s="4" t="s">
        <v>6</v>
      </c>
      <c r="J14" s="4" t="s">
        <v>13</v>
      </c>
    </row>
    <row r="15" spans="1:13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>
        <v>85</v>
      </c>
      <c r="I15" s="10">
        <v>15</v>
      </c>
      <c r="J15" s="9"/>
      <c r="K15" s="9"/>
      <c r="L15" s="9"/>
      <c r="M15" s="9"/>
    </row>
    <row r="16" spans="1:13" ht="24" customHeight="1" x14ac:dyDescent="0.25">
      <c r="A16" s="4">
        <f>SUM(C16:F16)</f>
        <v>10</v>
      </c>
      <c r="C16" s="11"/>
      <c r="D16" s="12"/>
      <c r="E16" s="12">
        <v>10</v>
      </c>
      <c r="F16" s="11"/>
      <c r="H16" s="11">
        <v>35</v>
      </c>
      <c r="I16" s="12">
        <v>65</v>
      </c>
      <c r="J16" s="11"/>
      <c r="K16" s="11"/>
      <c r="L16" s="11"/>
      <c r="M16" s="11"/>
    </row>
    <row r="17" spans="1:13" ht="24" customHeight="1" x14ac:dyDescent="0.25">
      <c r="A17" s="4">
        <f>SUM(C17:F17)</f>
        <v>10</v>
      </c>
      <c r="C17" s="5"/>
      <c r="D17" s="6"/>
      <c r="E17" s="6">
        <v>10</v>
      </c>
      <c r="F17" s="5"/>
      <c r="H17" s="5">
        <v>30</v>
      </c>
      <c r="I17" s="6">
        <v>60</v>
      </c>
      <c r="J17" s="5">
        <v>10</v>
      </c>
      <c r="K17" s="5"/>
      <c r="L17" s="5"/>
      <c r="M17" s="5"/>
    </row>
    <row r="19" spans="1:13" ht="24" customHeight="1" x14ac:dyDescent="0.25">
      <c r="C19" s="4" t="s">
        <v>41</v>
      </c>
      <c r="H19" s="4" t="s">
        <v>40</v>
      </c>
    </row>
  </sheetData>
  <conditionalFormatting sqref="A2:A4">
    <cfRule type="cellIs" dxfId="9" priority="2" operator="notEqual">
      <formula>100</formula>
    </cfRule>
  </conditionalFormatting>
  <conditionalFormatting sqref="A15:A17">
    <cfRule type="cellIs" dxfId="8" priority="1" operator="notEqual">
      <formula>100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63057-B042-4BC7-AB3A-B14A0E37EA98}">
  <dimension ref="A1:N19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>
        <v>37</v>
      </c>
      <c r="F1" s="1">
        <v>20</v>
      </c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>
        <v>50</v>
      </c>
      <c r="J3" s="11">
        <v>50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50</v>
      </c>
      <c r="D4" s="6">
        <v>30</v>
      </c>
      <c r="E4" s="6">
        <v>10</v>
      </c>
      <c r="F4" s="5">
        <v>10</v>
      </c>
      <c r="H4" s="5"/>
      <c r="I4" s="6">
        <v>70</v>
      </c>
      <c r="J4" s="5"/>
      <c r="K4" s="5">
        <v>30</v>
      </c>
      <c r="L4" s="5"/>
      <c r="M4" s="5"/>
    </row>
    <row r="5" spans="1:13" ht="24" customHeight="1" x14ac:dyDescent="0.25">
      <c r="A5" s="7"/>
      <c r="B5" s="1"/>
      <c r="C5" s="4" t="s">
        <v>10</v>
      </c>
      <c r="D5" s="4" t="s">
        <v>3</v>
      </c>
      <c r="E5" s="4" t="s">
        <v>18</v>
      </c>
      <c r="F5" s="4" t="s">
        <v>50</v>
      </c>
      <c r="H5" s="4" t="s">
        <v>3</v>
      </c>
      <c r="I5" s="4" t="s">
        <v>4</v>
      </c>
      <c r="J5" s="4" t="s">
        <v>0</v>
      </c>
      <c r="K5" s="4" t="s">
        <v>5</v>
      </c>
    </row>
    <row r="6" spans="1:13" s="3" customFormat="1" ht="14.1" customHeight="1" x14ac:dyDescent="0.25">
      <c r="A6" s="1"/>
      <c r="B6" s="1"/>
      <c r="C6" s="1">
        <f>SUM(C7:C11)</f>
        <v>50</v>
      </c>
      <c r="D6" s="1">
        <f>SUM(D7:D11)</f>
        <v>30</v>
      </c>
      <c r="E6" s="1">
        <f>SUM(E7:E11)</f>
        <v>10</v>
      </c>
      <c r="F6" s="1">
        <f>SUM(F7:F11)</f>
        <v>10</v>
      </c>
      <c r="H6" s="1">
        <f t="shared" ref="H6:M6" si="0">SUM(H7:H11)</f>
        <v>0</v>
      </c>
      <c r="I6" s="1">
        <f t="shared" si="0"/>
        <v>0</v>
      </c>
      <c r="J6" s="1">
        <f t="shared" si="0"/>
        <v>25</v>
      </c>
      <c r="K6" s="1">
        <f t="shared" si="0"/>
        <v>25</v>
      </c>
      <c r="L6" s="1">
        <f t="shared" si="0"/>
        <v>25</v>
      </c>
      <c r="M6" s="1">
        <f t="shared" si="0"/>
        <v>25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18" t="s">
        <v>18</v>
      </c>
      <c r="K7" s="18" t="s">
        <v>13</v>
      </c>
      <c r="L7" s="18" t="s">
        <v>43</v>
      </c>
      <c r="M7" s="18" t="s">
        <v>1</v>
      </c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18">
        <v>25</v>
      </c>
      <c r="K8" s="18">
        <v>25</v>
      </c>
      <c r="L8" s="18">
        <v>25</v>
      </c>
      <c r="M8" s="18">
        <v>25</v>
      </c>
    </row>
    <row r="9" spans="1:13" ht="24" customHeight="1" x14ac:dyDescent="0.25">
      <c r="A9" s="7">
        <v>10</v>
      </c>
      <c r="B9" s="1"/>
      <c r="E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F10" s="8">
        <v>10</v>
      </c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50</v>
      </c>
      <c r="D12" s="1">
        <f>SUM(D7:D11)</f>
        <v>30</v>
      </c>
      <c r="E12" s="1">
        <f>SUM(E7:E11)</f>
        <v>10</v>
      </c>
      <c r="F12" s="1">
        <f>SUM(F7:F11)</f>
        <v>10</v>
      </c>
      <c r="H12" s="1">
        <f t="shared" ref="H12:M12" si="1">SUM(H7:H11)</f>
        <v>0</v>
      </c>
      <c r="I12" s="1">
        <f t="shared" si="1"/>
        <v>0</v>
      </c>
      <c r="J12" s="1">
        <f t="shared" si="1"/>
        <v>25</v>
      </c>
      <c r="K12" s="1">
        <f t="shared" si="1"/>
        <v>25</v>
      </c>
      <c r="L12" s="1">
        <f t="shared" si="1"/>
        <v>25</v>
      </c>
      <c r="M12" s="1">
        <f t="shared" si="1"/>
        <v>25</v>
      </c>
    </row>
    <row r="13" spans="1:13" s="3" customFormat="1" ht="24" customHeight="1" x14ac:dyDescent="0.25">
      <c r="C13" s="1"/>
      <c r="D13" s="1"/>
      <c r="E13" s="1">
        <v>37</v>
      </c>
      <c r="F13" s="1">
        <v>20</v>
      </c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10</v>
      </c>
      <c r="D14" s="4" t="s">
        <v>3</v>
      </c>
      <c r="E14" s="4" t="s">
        <v>18</v>
      </c>
      <c r="F14" s="4" t="s">
        <v>50</v>
      </c>
    </row>
    <row r="15" spans="1:13" ht="24" customHeight="1" x14ac:dyDescent="0.25">
      <c r="A15" s="4">
        <f>SUM(C15:F15)</f>
        <v>100</v>
      </c>
      <c r="C15" s="9">
        <v>50</v>
      </c>
      <c r="D15" s="10">
        <v>30</v>
      </c>
      <c r="E15" s="10">
        <v>10</v>
      </c>
      <c r="F15" s="9">
        <v>10</v>
      </c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  <row r="19" spans="1:13" ht="24" customHeight="1" x14ac:dyDescent="0.25">
      <c r="C19" s="4" t="s">
        <v>237</v>
      </c>
    </row>
  </sheetData>
  <conditionalFormatting sqref="A2:A4">
    <cfRule type="cellIs" dxfId="7" priority="4" operator="notEqual">
      <formula>100</formula>
    </cfRule>
  </conditionalFormatting>
  <conditionalFormatting sqref="A15:A17">
    <cfRule type="cellIs" dxfId="6" priority="1" operator="notEqual">
      <formula>100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AEC81-1D9C-4909-A2D7-02740B312707}">
  <dimension ref="A1:N19"/>
  <sheetViews>
    <sheetView tabSelected="1" workbookViewId="0">
      <selection activeCell="D19" sqref="D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/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/>
      <c r="J3" s="11"/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60</v>
      </c>
      <c r="D4" s="6">
        <v>30</v>
      </c>
      <c r="E4" s="6">
        <v>10</v>
      </c>
      <c r="F4" s="5"/>
      <c r="H4" s="5"/>
      <c r="I4" s="6"/>
      <c r="J4" s="5"/>
      <c r="K4" s="5"/>
      <c r="L4" s="5"/>
      <c r="M4" s="5"/>
    </row>
    <row r="5" spans="1:13" ht="24" customHeight="1" x14ac:dyDescent="0.25">
      <c r="A5" s="7"/>
      <c r="B5" s="1"/>
      <c r="C5" s="4" t="s">
        <v>0</v>
      </c>
      <c r="D5" s="4" t="s">
        <v>10</v>
      </c>
      <c r="E5" s="4" t="s">
        <v>1</v>
      </c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/>
      <c r="E10" s="8">
        <v>10</v>
      </c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0</v>
      </c>
      <c r="D14" s="4" t="s">
        <v>10</v>
      </c>
      <c r="E14" s="4" t="s">
        <v>1</v>
      </c>
    </row>
    <row r="15" spans="1:13" ht="24" customHeight="1" x14ac:dyDescent="0.25">
      <c r="A15" s="4">
        <f>SUM(C15:F15)</f>
        <v>100</v>
      </c>
      <c r="C15" s="9">
        <v>60</v>
      </c>
      <c r="D15" s="10">
        <v>30</v>
      </c>
      <c r="E15" s="10">
        <v>10</v>
      </c>
      <c r="F15" s="9"/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  <row r="19" spans="1:13" ht="24" customHeight="1" x14ac:dyDescent="0.25">
      <c r="C19" s="4" t="s">
        <v>37</v>
      </c>
      <c r="H19" s="4">
        <f>SUM(I19)+4</f>
        <v>28</v>
      </c>
      <c r="I19" s="4">
        <f>SUM(J19)+9</f>
        <v>24</v>
      </c>
      <c r="J19" s="4">
        <v>15</v>
      </c>
    </row>
  </sheetData>
  <conditionalFormatting sqref="A2:A4">
    <cfRule type="cellIs" dxfId="5" priority="2" operator="notEqual">
      <formula>100</formula>
    </cfRule>
  </conditionalFormatting>
  <conditionalFormatting sqref="A15:A17">
    <cfRule type="cellIs" dxfId="4" priority="1" operator="notEqual">
      <formula>100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836ED-C98C-48D2-A49D-4EF6317EDE1E}">
  <dimension ref="A1:N19"/>
  <sheetViews>
    <sheetView workbookViewId="0">
      <selection activeCell="J19" sqref="H19:J19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45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>
        <v>100</v>
      </c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>
        <v>20</v>
      </c>
      <c r="I3" s="12">
        <v>60</v>
      </c>
      <c r="J3" s="11">
        <v>20</v>
      </c>
      <c r="K3" s="11"/>
      <c r="L3" s="11"/>
      <c r="M3" s="11"/>
    </row>
    <row r="4" spans="1:13" ht="24" customHeight="1" x14ac:dyDescent="0.25">
      <c r="A4" s="4">
        <f>SUM(C4:F4)</f>
        <v>100</v>
      </c>
      <c r="B4" s="1"/>
      <c r="C4" s="5">
        <v>50</v>
      </c>
      <c r="D4" s="6">
        <v>50</v>
      </c>
      <c r="E4" s="6"/>
      <c r="F4" s="5"/>
      <c r="H4" s="5"/>
      <c r="I4" s="6">
        <v>40</v>
      </c>
      <c r="J4" s="5">
        <v>40</v>
      </c>
      <c r="K4" s="5">
        <v>15</v>
      </c>
      <c r="L4" s="5">
        <v>4</v>
      </c>
      <c r="M4" s="5">
        <v>1</v>
      </c>
    </row>
    <row r="5" spans="1:13" ht="24" customHeight="1" x14ac:dyDescent="0.25">
      <c r="A5" s="7"/>
      <c r="B5" s="1"/>
      <c r="C5" s="4" t="s">
        <v>2</v>
      </c>
      <c r="D5" s="4" t="s">
        <v>10</v>
      </c>
      <c r="H5" s="4" t="s">
        <v>3</v>
      </c>
      <c r="I5" s="4" t="s">
        <v>0</v>
      </c>
      <c r="J5" s="4" t="s">
        <v>4</v>
      </c>
    </row>
    <row r="6" spans="1:13" s="3" customFormat="1" ht="14.1" customHeight="1" x14ac:dyDescent="0.25">
      <c r="A6" s="1"/>
      <c r="B6" s="1"/>
      <c r="C6" s="1">
        <f>SUM(C7:C11)</f>
        <v>50</v>
      </c>
      <c r="D6" s="1">
        <f>SUM(D7:D11)</f>
        <v>50</v>
      </c>
      <c r="E6" s="1">
        <f>SUM(E7:E11)</f>
        <v>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50</v>
      </c>
      <c r="B7" s="1"/>
      <c r="C7" s="8">
        <v>50</v>
      </c>
      <c r="D7" s="8"/>
      <c r="E7" s="8"/>
      <c r="F7" s="8"/>
      <c r="H7" s="8"/>
      <c r="I7" s="8" t="s">
        <v>0</v>
      </c>
      <c r="J7" s="8" t="s">
        <v>1</v>
      </c>
      <c r="K7" s="8" t="s">
        <v>52</v>
      </c>
      <c r="L7" s="8" t="s">
        <v>2</v>
      </c>
      <c r="M7" s="8" t="s">
        <v>53</v>
      </c>
    </row>
    <row r="8" spans="1:13" ht="24" customHeight="1" x14ac:dyDescent="0.25">
      <c r="A8" s="7">
        <v>30</v>
      </c>
      <c r="B8" s="1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D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>
        <v>10</v>
      </c>
      <c r="B10" s="1"/>
      <c r="C10" s="8"/>
      <c r="D10" s="8">
        <v>10</v>
      </c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50</v>
      </c>
      <c r="D12" s="1">
        <f>SUM(D7:D11)</f>
        <v>50</v>
      </c>
      <c r="E12" s="1">
        <f>SUM(E7:E11)</f>
        <v>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4" spans="1:13" ht="24" customHeight="1" x14ac:dyDescent="0.25">
      <c r="C14" s="4" t="s">
        <v>2</v>
      </c>
      <c r="D14" s="4" t="s">
        <v>10</v>
      </c>
    </row>
    <row r="15" spans="1:13" ht="24" customHeight="1" x14ac:dyDescent="0.25">
      <c r="A15" s="4">
        <f>SUM(C15:F15)</f>
        <v>100</v>
      </c>
      <c r="C15" s="9">
        <v>50</v>
      </c>
      <c r="D15" s="10">
        <v>50</v>
      </c>
      <c r="E15" s="10"/>
      <c r="F15" s="9"/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  <row r="19" spans="1:13" ht="24" customHeight="1" x14ac:dyDescent="0.25">
      <c r="C19" s="4" t="s">
        <v>235</v>
      </c>
      <c r="H19" s="4">
        <f>SUM(I19)+4</f>
        <v>20</v>
      </c>
      <c r="I19" s="4">
        <f>SUM(J19)+9</f>
        <v>16</v>
      </c>
      <c r="J19" s="4">
        <v>7</v>
      </c>
    </row>
  </sheetData>
  <conditionalFormatting sqref="A2:A4">
    <cfRule type="cellIs" dxfId="3" priority="2" operator="notEqual">
      <formula>100</formula>
    </cfRule>
  </conditionalFormatting>
  <conditionalFormatting sqref="A15:A17">
    <cfRule type="cellIs" dxfId="2" priority="1" operator="notEqual">
      <formula>100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42255-3E20-4129-AAC6-D5D2579E8F91}">
  <dimension ref="A1:N17"/>
  <sheetViews>
    <sheetView workbookViewId="0">
      <selection activeCell="A17" sqref="A17"/>
    </sheetView>
  </sheetViews>
  <sheetFormatPr defaultColWidth="10.7109375" defaultRowHeight="24" customHeight="1" x14ac:dyDescent="0.25"/>
  <cols>
    <col min="1" max="1" width="4.7109375" style="4" customWidth="1"/>
    <col min="2" max="2" width="2.7109375" style="3" customWidth="1"/>
    <col min="3" max="6" width="11.7109375" style="4" customWidth="1"/>
    <col min="7" max="7" width="2.7109375" style="3" customWidth="1"/>
    <col min="8" max="13" width="11.7109375" style="4" customWidth="1"/>
    <col min="14" max="14" width="2.7109375" style="3" customWidth="1"/>
    <col min="15" max="16384" width="10.7109375" style="4"/>
  </cols>
  <sheetData>
    <row r="1" spans="1:13" ht="24" customHeight="1" x14ac:dyDescent="0.25">
      <c r="A1" s="1"/>
      <c r="B1" s="1"/>
      <c r="C1" s="1"/>
      <c r="D1" s="1"/>
      <c r="E1" s="1"/>
      <c r="F1" s="1"/>
      <c r="H1" s="2"/>
      <c r="I1" s="2"/>
      <c r="J1" s="1"/>
      <c r="K1" s="1"/>
      <c r="L1" s="2"/>
      <c r="M1" s="2"/>
    </row>
    <row r="2" spans="1:13" ht="24" customHeight="1" x14ac:dyDescent="0.25">
      <c r="A2" s="4">
        <f>SUM(C2:F2)</f>
        <v>0</v>
      </c>
      <c r="B2" s="1"/>
      <c r="C2" s="9"/>
      <c r="D2" s="10"/>
      <c r="E2" s="10"/>
      <c r="F2" s="9"/>
      <c r="H2" s="9"/>
      <c r="I2" s="10"/>
      <c r="J2" s="9"/>
      <c r="K2" s="9"/>
      <c r="L2" s="9"/>
      <c r="M2" s="9"/>
    </row>
    <row r="3" spans="1:13" ht="24" customHeight="1" x14ac:dyDescent="0.25">
      <c r="A3" s="4">
        <f>SUM(C3:F3)</f>
        <v>0</v>
      </c>
      <c r="B3" s="1"/>
      <c r="C3" s="11"/>
      <c r="D3" s="12"/>
      <c r="E3" s="12"/>
      <c r="F3" s="11"/>
      <c r="H3" s="11"/>
      <c r="I3" s="12"/>
      <c r="J3" s="11"/>
      <c r="K3" s="11"/>
      <c r="L3" s="11"/>
      <c r="M3" s="11"/>
    </row>
    <row r="4" spans="1:13" ht="24" customHeight="1" x14ac:dyDescent="0.25">
      <c r="A4" s="4">
        <f>SUM(C4:F4)</f>
        <v>0</v>
      </c>
      <c r="B4" s="1"/>
      <c r="C4" s="5"/>
      <c r="D4" s="6"/>
      <c r="E4" s="6"/>
      <c r="F4" s="5"/>
      <c r="H4" s="5"/>
      <c r="I4" s="6"/>
      <c r="J4" s="5"/>
      <c r="K4" s="5"/>
      <c r="L4" s="5"/>
      <c r="M4" s="5"/>
    </row>
    <row r="5" spans="1:13" ht="24" customHeight="1" x14ac:dyDescent="0.25">
      <c r="A5" s="7"/>
      <c r="B5" s="1"/>
    </row>
    <row r="6" spans="1:13" s="3" customFormat="1" ht="14.1" customHeight="1" x14ac:dyDescent="0.25">
      <c r="A6" s="1"/>
      <c r="B6" s="1"/>
      <c r="C6" s="1">
        <f>SUM(C7:C11)</f>
        <v>60</v>
      </c>
      <c r="D6" s="1">
        <f>SUM(D7:D11)</f>
        <v>30</v>
      </c>
      <c r="E6" s="1">
        <f>SUM(E7:E11)</f>
        <v>10</v>
      </c>
      <c r="F6" s="1">
        <f>SUM(F7:F11)</f>
        <v>0</v>
      </c>
      <c r="H6" s="1">
        <f t="shared" ref="H6:M6" si="0">SUM(H7:H11)</f>
        <v>0</v>
      </c>
      <c r="I6" s="1">
        <f t="shared" si="0"/>
        <v>0</v>
      </c>
      <c r="J6" s="1">
        <f t="shared" si="0"/>
        <v>0</v>
      </c>
      <c r="K6" s="1">
        <f t="shared" si="0"/>
        <v>0</v>
      </c>
      <c r="L6" s="1">
        <f t="shared" si="0"/>
        <v>0</v>
      </c>
      <c r="M6" s="1">
        <f t="shared" si="0"/>
        <v>0</v>
      </c>
    </row>
    <row r="7" spans="1:13" ht="24" customHeight="1" x14ac:dyDescent="0.25">
      <c r="A7" s="7">
        <v>60</v>
      </c>
      <c r="B7" s="1"/>
      <c r="C7" s="8">
        <v>60</v>
      </c>
      <c r="D7" s="8"/>
      <c r="E7" s="8"/>
      <c r="F7" s="8"/>
      <c r="H7" s="8"/>
      <c r="I7" s="8"/>
      <c r="J7" s="8"/>
      <c r="K7" s="8"/>
      <c r="L7" s="8"/>
      <c r="M7" s="8"/>
    </row>
    <row r="8" spans="1:13" ht="24" customHeight="1" x14ac:dyDescent="0.25">
      <c r="A8" s="7">
        <v>30</v>
      </c>
      <c r="B8" s="1"/>
      <c r="C8" s="8"/>
      <c r="D8" s="7">
        <v>30</v>
      </c>
      <c r="E8" s="8"/>
      <c r="F8" s="8"/>
      <c r="H8" s="8"/>
      <c r="I8" s="8"/>
      <c r="J8" s="8"/>
      <c r="K8" s="8"/>
      <c r="L8" s="8"/>
      <c r="M8" s="8"/>
    </row>
    <row r="9" spans="1:13" ht="24" customHeight="1" x14ac:dyDescent="0.25">
      <c r="A9" s="7">
        <v>10</v>
      </c>
      <c r="B9" s="1"/>
      <c r="C9" s="8"/>
      <c r="D9" s="8"/>
      <c r="E9" s="7">
        <v>10</v>
      </c>
      <c r="F9" s="8"/>
      <c r="H9" s="8"/>
      <c r="I9" s="8"/>
      <c r="J9" s="8"/>
      <c r="K9" s="7"/>
      <c r="L9" s="8"/>
      <c r="M9" s="8"/>
    </row>
    <row r="10" spans="1:13" ht="24" customHeight="1" x14ac:dyDescent="0.25">
      <c r="A10" s="7"/>
      <c r="B10" s="1"/>
      <c r="C10" s="8"/>
      <c r="D10" s="8"/>
      <c r="E10" s="8"/>
      <c r="F10" s="7"/>
      <c r="H10" s="8"/>
      <c r="I10" s="8"/>
      <c r="J10" s="8"/>
      <c r="K10" s="8"/>
      <c r="L10" s="8"/>
      <c r="M10" s="8"/>
    </row>
    <row r="11" spans="1:13" ht="24" customHeight="1" x14ac:dyDescent="0.25">
      <c r="A11" s="7"/>
      <c r="B11" s="1"/>
      <c r="C11" s="8"/>
      <c r="D11" s="8"/>
      <c r="E11" s="8"/>
      <c r="F11" s="8"/>
      <c r="H11" s="7"/>
      <c r="I11" s="8"/>
      <c r="J11" s="8"/>
      <c r="K11" s="7"/>
      <c r="L11" s="8"/>
      <c r="M11" s="8"/>
    </row>
    <row r="12" spans="1:13" s="3" customFormat="1" ht="14.1" customHeight="1" x14ac:dyDescent="0.25">
      <c r="C12" s="1">
        <f>SUM(C7:C11)</f>
        <v>60</v>
      </c>
      <c r="D12" s="1">
        <f>SUM(D7:D11)</f>
        <v>30</v>
      </c>
      <c r="E12" s="1">
        <f>SUM(E7:E11)</f>
        <v>10</v>
      </c>
      <c r="F12" s="1">
        <f>SUM(F7:F11)</f>
        <v>0</v>
      </c>
      <c r="H12" s="1">
        <f t="shared" ref="H12:M12" si="1">SUM(H7:H11)</f>
        <v>0</v>
      </c>
      <c r="I12" s="1">
        <f t="shared" si="1"/>
        <v>0</v>
      </c>
      <c r="J12" s="1">
        <f t="shared" si="1"/>
        <v>0</v>
      </c>
      <c r="K12" s="1">
        <f t="shared" si="1"/>
        <v>0</v>
      </c>
      <c r="L12" s="1">
        <f t="shared" si="1"/>
        <v>0</v>
      </c>
      <c r="M12" s="1">
        <f t="shared" si="1"/>
        <v>0</v>
      </c>
    </row>
    <row r="13" spans="1:13" s="3" customFormat="1" ht="24" customHeight="1" x14ac:dyDescent="0.25">
      <c r="C13" s="1"/>
      <c r="D13" s="1"/>
      <c r="E13" s="1"/>
      <c r="F13" s="1"/>
      <c r="H13" s="1"/>
      <c r="I13" s="1"/>
      <c r="J13" s="1"/>
      <c r="K13" s="1"/>
      <c r="L13" s="1"/>
      <c r="M13" s="1"/>
    </row>
    <row r="15" spans="1:13" ht="24" customHeight="1" x14ac:dyDescent="0.25">
      <c r="A15" s="4">
        <f>SUM(C15:F15)</f>
        <v>0</v>
      </c>
      <c r="C15" s="9"/>
      <c r="D15" s="10"/>
      <c r="E15" s="10"/>
      <c r="F15" s="9"/>
      <c r="H15" s="9"/>
      <c r="I15" s="10"/>
      <c r="J15" s="9"/>
      <c r="K15" s="9"/>
      <c r="L15" s="9"/>
      <c r="M15" s="9"/>
    </row>
    <row r="16" spans="1:13" ht="24" customHeight="1" x14ac:dyDescent="0.25">
      <c r="A16" s="4">
        <f>SUM(C16:F16)</f>
        <v>0</v>
      </c>
      <c r="C16" s="11"/>
      <c r="D16" s="12"/>
      <c r="E16" s="12"/>
      <c r="F16" s="11"/>
      <c r="H16" s="11"/>
      <c r="I16" s="12"/>
      <c r="J16" s="11"/>
      <c r="K16" s="11"/>
      <c r="L16" s="11"/>
      <c r="M16" s="11"/>
    </row>
    <row r="17" spans="1:13" ht="24" customHeight="1" x14ac:dyDescent="0.25">
      <c r="A17" s="4">
        <f>SUM(C17:F17)</f>
        <v>0</v>
      </c>
      <c r="C17" s="5"/>
      <c r="D17" s="6"/>
      <c r="E17" s="6"/>
      <c r="F17" s="5"/>
      <c r="H17" s="5"/>
      <c r="I17" s="6"/>
      <c r="J17" s="5"/>
      <c r="K17" s="5"/>
      <c r="L17" s="5"/>
      <c r="M17" s="5"/>
    </row>
  </sheetData>
  <conditionalFormatting sqref="A2:A4">
    <cfRule type="cellIs" dxfId="1" priority="5" operator="notEqual">
      <formula>100</formula>
    </cfRule>
  </conditionalFormatting>
  <conditionalFormatting sqref="A15:A17">
    <cfRule type="cellIs" dxfId="0" priority="1" operator="not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GROUPS</vt:lpstr>
      <vt:lpstr>FishStuff</vt:lpstr>
      <vt:lpstr>Route4</vt:lpstr>
      <vt:lpstr>Route6</vt:lpstr>
      <vt:lpstr>Route10N</vt:lpstr>
      <vt:lpstr>Route12,13</vt:lpstr>
      <vt:lpstr>Route19,20,21</vt:lpstr>
      <vt:lpstr>Route22</vt:lpstr>
      <vt:lpstr>Route23</vt:lpstr>
      <vt:lpstr>Route24,25</vt:lpstr>
      <vt:lpstr>Route26,27E</vt:lpstr>
      <vt:lpstr>Route28</vt:lpstr>
      <vt:lpstr>PalletTown(21)</vt:lpstr>
      <vt:lpstr>ViridianCity</vt:lpstr>
      <vt:lpstr>CeruleanCity</vt:lpstr>
      <vt:lpstr>VermilionCity,Port</vt:lpstr>
      <vt:lpstr>CeladonCity</vt:lpstr>
      <vt:lpstr>FuchsiaCity</vt:lpstr>
      <vt:lpstr>CinnabarIsland(20)</vt:lpstr>
      <vt:lpstr>CeruleanCave</vt:lpstr>
      <vt:lpstr>TohjoFalls</vt:lpstr>
      <vt:lpstr>SafariZone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2024-06-19T18:23:06Z</dcterms:created>
  <dcterms:modified xsi:type="dcterms:W3CDTF">2024-06-25T04:50:32Z</dcterms:modified>
</cp:coreProperties>
</file>